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חשבון פנסיה אישי" sheetId="1" state="visible" r:id="rId1"/>
    <sheet name="השוואת גילאי התחלה" sheetId="2" state="visible" r:id="rId2"/>
    <sheet name="עלות דמי הניהול" sheetId="3" state="visible" r:id="rId3"/>
    <sheet name="טבלת צבירה שנתית" sheetId="4" state="visible" r:id="rId4"/>
    <sheet name="נתוני שוק ורקע" sheetId="5" state="visible" r:id="rId5"/>
    <sheet name="מחשבון דמי ניהול" sheetId="6" state="visible" r:id="rId6"/>
    <sheet name="⚠️ דיסקליימר" sheetId="7" state="visible" r:id="rId7"/>
  </sheets>
  <definedNames>
    <definedName name="_xlnm.Print_Titles" localSheetId="0">'מחשבון פנסיה אישי'!$1:$3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 &quot;שנים&quot;"/>
    <numFmt numFmtId="165" formatCode="#,##0 &quot;₪&quot;"/>
    <numFmt numFmtId="166" formatCode="0.000%"/>
    <numFmt numFmtId="167" formatCode="0 &quot;חודשים&quot;"/>
    <numFmt numFmtId="168" formatCode="0.0%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1"/>
    </font>
    <font>
      <name val="Calibri"/>
      <b val="1"/>
      <color rgb="00FFFFFF"/>
      <sz val="13"/>
    </font>
    <font>
      <name val="Calibri"/>
      <color rgb="00000000"/>
      <sz val="11"/>
    </font>
    <font>
      <name val="Calibri"/>
      <b val="1"/>
      <color rgb="001F3864"/>
      <sz val="12"/>
    </font>
    <font>
      <name val="Calibri"/>
      <i val="1"/>
      <color rgb="00404040"/>
      <sz val="9"/>
    </font>
    <font>
      <name val="Calibri"/>
      <b val="1"/>
      <color rgb="001F3864"/>
      <sz val="11"/>
    </font>
    <font>
      <name val="Calibri"/>
      <b val="1"/>
      <color rgb="00BF9000"/>
      <sz val="11"/>
    </font>
    <font>
      <name val="Calibri"/>
      <b val="1"/>
      <color rgb="00375623"/>
      <sz val="11"/>
    </font>
    <font>
      <name val="Calibri"/>
      <b val="1"/>
      <color rgb="00000000"/>
      <sz val="11"/>
    </font>
    <font>
      <name val="Calibri"/>
      <color rgb="00003B4C"/>
      <sz val="10"/>
    </font>
    <font>
      <name val="Calibri"/>
      <color rgb="00003B4C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C00000"/>
      <sz val="11"/>
    </font>
    <font>
      <name val="Calibri"/>
      <b val="1"/>
      <color rgb="00C55A11"/>
      <sz val="11"/>
    </font>
    <font>
      <name val="Calibri"/>
      <b val="1"/>
      <color rgb="00000000"/>
      <sz val="12"/>
    </font>
    <font>
      <name val="Calibri"/>
      <b val="1"/>
      <color rgb="00375623"/>
      <sz val="12"/>
    </font>
    <font>
      <name val="Calibri"/>
      <b val="1"/>
      <color rgb="00C00000"/>
      <sz val="12"/>
    </font>
    <font>
      <name val="Calibri"/>
      <color rgb="00375623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BF9000"/>
      <sz val="10"/>
    </font>
    <font>
      <name val="Calibri"/>
      <color rgb="001F3864"/>
      <sz val="11"/>
    </font>
    <font>
      <name val="Calibri"/>
      <b val="1"/>
      <color rgb="00FFFFFF"/>
      <sz val="18"/>
    </font>
    <font>
      <name val="Calibri"/>
      <color rgb="00C00000"/>
      <sz val="11"/>
    </font>
  </fonts>
  <fills count="23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1E5631"/>
        <bgColor rgb="001E5631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005B70"/>
        <bgColor rgb="00005B70"/>
      </patternFill>
    </fill>
    <fill>
      <patternFill patternType="solid">
        <fgColor rgb="00DAF0F7"/>
        <bgColor rgb="00DAF0F7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C55A11"/>
        <bgColor rgb="00C55A11"/>
      </patternFill>
    </fill>
    <fill>
      <patternFill patternType="solid">
        <fgColor rgb="00375623"/>
        <bgColor rgb="00375623"/>
      </patternFill>
    </fill>
    <fill>
      <patternFill patternType="solid">
        <fgColor rgb="00548235"/>
        <bgColor rgb="00548235"/>
      </patternFill>
    </fill>
    <fill>
      <patternFill patternType="solid">
        <fgColor rgb="00FFCCCC"/>
        <bgColor rgb="00FFCCCC"/>
      </patternFill>
    </fill>
    <fill>
      <patternFill patternType="solid">
        <fgColor rgb="00FCE4D6"/>
        <bgColor rgb="00FCE4D6"/>
      </patternFill>
    </fill>
    <fill>
      <patternFill patternType="solid">
        <fgColor rgb="00003B4C"/>
        <bgColor rgb="00003B4C"/>
      </patternFill>
    </fill>
    <fill>
      <patternFill patternType="solid">
        <fgColor rgb="00FFFFFF"/>
        <bgColor rgb="00FFFFFF"/>
      </patternFill>
    </fill>
    <fill>
      <patternFill patternType="solid">
        <fgColor rgb="00BF9000"/>
        <bgColor rgb="00BF9000"/>
      </patternFill>
    </fill>
    <fill>
      <patternFill patternType="solid">
        <fgColor rgb="00D9D9D9"/>
        <b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right" vertical="center" readingOrder="2"/>
    </xf>
    <xf numFmtId="164" fontId="5" fillId="5" borderId="1" applyAlignment="1" pivotButton="0" quotePrefix="0" xfId="0">
      <alignment horizontal="center" vertical="center" readingOrder="2"/>
    </xf>
    <xf numFmtId="0" fontId="6" fillId="6" borderId="1" applyAlignment="1" pivotButton="0" quotePrefix="0" xfId="0">
      <alignment horizontal="right" vertical="center" readingOrder="2"/>
    </xf>
    <xf numFmtId="165" fontId="5" fillId="5" borderId="1" applyAlignment="1" pivotButton="0" quotePrefix="0" xfId="0">
      <alignment horizontal="center" vertical="center" readingOrder="2"/>
    </xf>
    <xf numFmtId="10" fontId="5" fillId="5" borderId="1" applyAlignment="1" pivotButton="0" quotePrefix="0" xfId="0">
      <alignment horizontal="center" vertical="center" readingOrder="2"/>
    </xf>
    <xf numFmtId="166" fontId="5" fillId="5" borderId="1" applyAlignment="1" pivotButton="0" quotePrefix="0" xfId="0">
      <alignment horizontal="center" vertical="center" readingOrder="2"/>
    </xf>
    <xf numFmtId="0" fontId="3" fillId="7" borderId="0" applyAlignment="1" pivotButton="0" quotePrefix="0" xfId="0">
      <alignment horizontal="center" vertical="center" readingOrder="2"/>
    </xf>
    <xf numFmtId="0" fontId="7" fillId="8" borderId="1" applyAlignment="1" pivotButton="0" quotePrefix="0" xfId="0">
      <alignment horizontal="right" vertical="center" readingOrder="2"/>
    </xf>
    <xf numFmtId="1" fontId="5" fillId="8" borderId="1" applyAlignment="1" pivotButton="0" quotePrefix="0" xfId="0">
      <alignment horizontal="center" vertical="center" readingOrder="2"/>
    </xf>
    <xf numFmtId="167" fontId="5" fillId="8" borderId="1" applyAlignment="1" pivotButton="0" quotePrefix="0" xfId="0">
      <alignment horizontal="center" vertical="center" readingOrder="2"/>
    </xf>
    <xf numFmtId="0" fontId="7" fillId="9" borderId="1" applyAlignment="1" pivotButton="0" quotePrefix="0" xfId="0">
      <alignment horizontal="right" vertical="center" readingOrder="2"/>
    </xf>
    <xf numFmtId="165" fontId="5" fillId="9" borderId="1" applyAlignment="1" pivotButton="0" quotePrefix="0" xfId="0">
      <alignment horizontal="center" vertical="center" readingOrder="2"/>
    </xf>
    <xf numFmtId="0" fontId="3" fillId="3" borderId="0" applyAlignment="1" pivotButton="0" quotePrefix="0" xfId="0">
      <alignment horizontal="center" vertical="center" readingOrder="2"/>
    </xf>
    <xf numFmtId="0" fontId="8" fillId="5" borderId="1" applyAlignment="1" pivotButton="0" quotePrefix="0" xfId="0">
      <alignment horizontal="right" vertical="center" readingOrder="2"/>
    </xf>
    <xf numFmtId="0" fontId="10" fillId="4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9" fillId="8" borderId="1" applyAlignment="1" pivotButton="0" quotePrefix="0" xfId="0">
      <alignment horizontal="right" vertical="center" readingOrder="2"/>
    </xf>
    <xf numFmtId="165" fontId="5" fillId="8" borderId="1" applyAlignment="1" pivotButton="0" quotePrefix="0" xfId="0">
      <alignment horizontal="center" vertical="center" readingOrder="2"/>
    </xf>
    <xf numFmtId="0" fontId="7" fillId="6" borderId="1" applyAlignment="1" pivotButton="0" quotePrefix="0" xfId="0">
      <alignment horizontal="right" vertical="center" readingOrder="2"/>
    </xf>
    <xf numFmtId="165" fontId="5" fillId="6" borderId="1" applyAlignment="1" pivotButton="0" quotePrefix="0" xfId="0">
      <alignment horizontal="center" vertical="center" readingOrder="2"/>
    </xf>
    <xf numFmtId="0" fontId="7" fillId="5" borderId="1" applyAlignment="1" pivotButton="0" quotePrefix="0" xfId="0">
      <alignment horizontal="right" vertical="center" readingOrder="2"/>
    </xf>
    <xf numFmtId="168" fontId="5" fillId="5" borderId="1" applyAlignment="1" pivotButton="0" quotePrefix="0" xfId="0">
      <alignment horizontal="center" vertical="center" readingOrder="2"/>
    </xf>
    <xf numFmtId="0" fontId="3" fillId="10" borderId="0" applyAlignment="1" pivotButton="0" quotePrefix="0" xfId="0">
      <alignment horizontal="center" vertical="center" readingOrder="2"/>
    </xf>
    <xf numFmtId="0" fontId="11" fillId="11" borderId="0" applyAlignment="1" pivotButton="0" quotePrefix="0" xfId="0">
      <alignment horizontal="right" vertical="center" wrapText="1" readingOrder="2"/>
    </xf>
    <xf numFmtId="0" fontId="12" fillId="11" borderId="1" applyAlignment="1" pivotButton="0" quotePrefix="0" xfId="0">
      <alignment horizontal="right" vertical="center" readingOrder="2"/>
    </xf>
    <xf numFmtId="165" fontId="5" fillId="12" borderId="1" applyAlignment="1" pivotButton="0" quotePrefix="0" xfId="0">
      <alignment horizontal="center" vertical="center" readingOrder="2"/>
    </xf>
    <xf numFmtId="0" fontId="1" fillId="13" borderId="0" applyAlignment="1" pivotButton="0" quotePrefix="0" xfId="0">
      <alignment horizontal="center" vertical="center" readingOrder="2"/>
    </xf>
    <xf numFmtId="0" fontId="2" fillId="14" borderId="0" applyAlignment="1" pivotButton="0" quotePrefix="0" xfId="0">
      <alignment horizontal="center" vertical="center" readingOrder="2"/>
    </xf>
    <xf numFmtId="0" fontId="13" fillId="2" borderId="1" applyAlignment="1" pivotButton="0" quotePrefix="0" xfId="0">
      <alignment horizontal="center" vertical="center" readingOrder="2"/>
    </xf>
    <xf numFmtId="0" fontId="14" fillId="15" borderId="1" applyAlignment="1" pivotButton="0" quotePrefix="0" xfId="0">
      <alignment horizontal="center" vertical="center" readingOrder="2"/>
    </xf>
    <xf numFmtId="0" fontId="4" fillId="6" borderId="1" applyAlignment="1" pivotButton="0" quotePrefix="0" xfId="0">
      <alignment horizontal="center" vertical="center" readingOrder="2"/>
    </xf>
    <xf numFmtId="165" fontId="4" fillId="6" borderId="1" applyAlignment="1" pivotButton="0" quotePrefix="0" xfId="0">
      <alignment horizontal="center" vertical="center" readingOrder="2"/>
    </xf>
    <xf numFmtId="165" fontId="9" fillId="8" borderId="1" applyAlignment="1" pivotButton="0" quotePrefix="0" xfId="0">
      <alignment horizontal="center" vertical="center" readingOrder="2"/>
    </xf>
    <xf numFmtId="49" fontId="9" fillId="8" borderId="1" applyAlignment="1" pivotButton="0" quotePrefix="0" xfId="0">
      <alignment horizontal="center" vertical="center" readingOrder="2"/>
    </xf>
    <xf numFmtId="0" fontId="14" fillId="16" borderId="1" applyAlignment="1" pivotButton="0" quotePrefix="0" xfId="0">
      <alignment horizontal="center" vertical="center" readingOrder="2"/>
    </xf>
    <xf numFmtId="165" fontId="15" fillId="17" borderId="1" applyAlignment="1" pivotButton="0" quotePrefix="0" xfId="0">
      <alignment horizontal="center" vertical="center" readingOrder="2"/>
    </xf>
    <xf numFmtId="165" fontId="16" fillId="18" borderId="1" applyAlignment="1" pivotButton="0" quotePrefix="0" xfId="0">
      <alignment horizontal="center" vertical="center" readingOrder="2"/>
    </xf>
    <xf numFmtId="0" fontId="14" fillId="3" borderId="1" applyAlignment="1" pivotButton="0" quotePrefix="0" xfId="0">
      <alignment horizontal="center" vertical="center" readingOrder="2"/>
    </xf>
    <xf numFmtId="0" fontId="14" fillId="12" borderId="1" applyAlignment="1" pivotButton="0" quotePrefix="0" xfId="0">
      <alignment horizontal="center" vertical="center" readingOrder="2"/>
    </xf>
    <xf numFmtId="0" fontId="14" fillId="14" borderId="1" applyAlignment="1" pivotButton="0" quotePrefix="0" xfId="0">
      <alignment horizontal="center" vertical="center" readingOrder="2"/>
    </xf>
    <xf numFmtId="0" fontId="14" fillId="13" borderId="1" applyAlignment="1" pivotButton="0" quotePrefix="0" xfId="0">
      <alignment horizontal="center" vertical="center" readingOrder="2"/>
    </xf>
    <xf numFmtId="0" fontId="3" fillId="13" borderId="0" applyAlignment="1" pivotButton="0" quotePrefix="0" xfId="0">
      <alignment horizontal="right" vertical="center" wrapText="1" readingOrder="2"/>
    </xf>
    <xf numFmtId="0" fontId="10" fillId="8" borderId="1" applyAlignment="1" pivotButton="0" quotePrefix="0" xfId="0">
      <alignment horizontal="right" vertical="center" wrapText="1" readingOrder="2"/>
    </xf>
    <xf numFmtId="166" fontId="4" fillId="8" borderId="1" applyAlignment="1" pivotButton="0" quotePrefix="0" xfId="0">
      <alignment horizontal="center" vertical="center" readingOrder="2"/>
    </xf>
    <xf numFmtId="165" fontId="17" fillId="8" borderId="1" applyAlignment="1" pivotButton="0" quotePrefix="0" xfId="0">
      <alignment horizontal="center" vertical="center" readingOrder="2"/>
    </xf>
    <xf numFmtId="165" fontId="4" fillId="8" borderId="1" applyAlignment="1" pivotButton="0" quotePrefix="0" xfId="0">
      <alignment horizontal="center" vertical="center" readingOrder="2"/>
    </xf>
    <xf numFmtId="49" fontId="18" fillId="8" borderId="1" applyAlignment="1" pivotButton="0" quotePrefix="0" xfId="0">
      <alignment horizontal="center" vertical="center" readingOrder="2"/>
    </xf>
    <xf numFmtId="0" fontId="10" fillId="5" borderId="1" applyAlignment="1" pivotButton="0" quotePrefix="0" xfId="0">
      <alignment horizontal="right" vertical="center" wrapText="1" readingOrder="2"/>
    </xf>
    <xf numFmtId="166" fontId="4" fillId="5" borderId="1" applyAlignment="1" pivotButton="0" quotePrefix="0" xfId="0">
      <alignment horizontal="center" vertical="center" readingOrder="2"/>
    </xf>
    <xf numFmtId="165" fontId="17" fillId="5" borderId="1" applyAlignment="1" pivotButton="0" quotePrefix="0" xfId="0">
      <alignment horizontal="center" vertical="center" readingOrder="2"/>
    </xf>
    <xf numFmtId="165" fontId="4" fillId="5" borderId="1" applyAlignment="1" pivotButton="0" quotePrefix="0" xfId="0">
      <alignment horizontal="center" vertical="center" readingOrder="2"/>
    </xf>
    <xf numFmtId="165" fontId="19" fillId="17" borderId="1" applyAlignment="1" pivotButton="0" quotePrefix="0" xfId="0">
      <alignment horizontal="center" vertical="center" readingOrder="2"/>
    </xf>
    <xf numFmtId="0" fontId="10" fillId="18" borderId="1" applyAlignment="1" pivotButton="0" quotePrefix="0" xfId="0">
      <alignment horizontal="right" vertical="center" wrapText="1" readingOrder="2"/>
    </xf>
    <xf numFmtId="166" fontId="4" fillId="18" borderId="1" applyAlignment="1" pivotButton="0" quotePrefix="0" xfId="0">
      <alignment horizontal="center" vertical="center" readingOrder="2"/>
    </xf>
    <xf numFmtId="165" fontId="17" fillId="18" borderId="1" applyAlignment="1" pivotButton="0" quotePrefix="0" xfId="0">
      <alignment horizontal="center" vertical="center" readingOrder="2"/>
    </xf>
    <xf numFmtId="165" fontId="4" fillId="18" borderId="1" applyAlignment="1" pivotButton="0" quotePrefix="0" xfId="0">
      <alignment horizontal="center" vertical="center" readingOrder="2"/>
    </xf>
    <xf numFmtId="0" fontId="10" fillId="17" borderId="1" applyAlignment="1" pivotButton="0" quotePrefix="0" xfId="0">
      <alignment horizontal="right" vertical="center" wrapText="1" readingOrder="2"/>
    </xf>
    <xf numFmtId="166" fontId="4" fillId="17" borderId="1" applyAlignment="1" pivotButton="0" quotePrefix="0" xfId="0">
      <alignment horizontal="center" vertical="center" readingOrder="2"/>
    </xf>
    <xf numFmtId="165" fontId="17" fillId="17" borderId="1" applyAlignment="1" pivotButton="0" quotePrefix="0" xfId="0">
      <alignment horizontal="center" vertical="center" readingOrder="2"/>
    </xf>
    <xf numFmtId="165" fontId="4" fillId="17" borderId="1" applyAlignment="1" pivotButton="0" quotePrefix="0" xfId="0">
      <alignment horizontal="center" vertical="center" readingOrder="2"/>
    </xf>
    <xf numFmtId="0" fontId="20" fillId="8" borderId="0" applyAlignment="1" pivotButton="0" quotePrefix="0" xfId="0">
      <alignment horizontal="right" vertical="center" wrapText="1" readingOrder="2"/>
    </xf>
    <xf numFmtId="0" fontId="21" fillId="19" borderId="1" applyAlignment="1" pivotButton="0" quotePrefix="0" xfId="0">
      <alignment horizontal="center" vertical="center" readingOrder="2"/>
    </xf>
    <xf numFmtId="0" fontId="22" fillId="20" borderId="1" applyAlignment="1" pivotButton="0" quotePrefix="0" xfId="0">
      <alignment horizontal="right" vertical="center" readingOrder="2"/>
    </xf>
    <xf numFmtId="0" fontId="23" fillId="20" borderId="1" applyAlignment="1" pivotButton="0" quotePrefix="0" xfId="0">
      <alignment horizontal="center" vertical="center" readingOrder="2"/>
    </xf>
    <xf numFmtId="0" fontId="22" fillId="6" borderId="1" applyAlignment="1" pivotButton="0" quotePrefix="0" xfId="0">
      <alignment horizontal="right" vertical="center" readingOrder="2"/>
    </xf>
    <xf numFmtId="0" fontId="23" fillId="6" borderId="1" applyAlignment="1" pivotButton="0" quotePrefix="0" xfId="0">
      <alignment horizontal="center" vertical="center" readingOrder="2"/>
    </xf>
    <xf numFmtId="0" fontId="6" fillId="6" borderId="0" applyAlignment="1" pivotButton="0" quotePrefix="0" xfId="0">
      <alignment horizontal="right" vertical="center" wrapText="1" readingOrder="2"/>
    </xf>
    <xf numFmtId="165" fontId="23" fillId="20" borderId="1" applyAlignment="1" pivotButton="0" quotePrefix="0" xfId="0">
      <alignment horizontal="center" vertical="center" readingOrder="2"/>
    </xf>
    <xf numFmtId="165" fontId="5" fillId="20" borderId="1" applyAlignment="1" pivotButton="0" quotePrefix="0" xfId="0">
      <alignment horizontal="center" vertical="center" readingOrder="2"/>
    </xf>
    <xf numFmtId="165" fontId="23" fillId="6" borderId="1" applyAlignment="1" pivotButton="0" quotePrefix="0" xfId="0">
      <alignment horizontal="center" vertical="center" readingOrder="2"/>
    </xf>
    <xf numFmtId="0" fontId="24" fillId="12" borderId="1" applyAlignment="1" pivotButton="0" quotePrefix="0" xfId="0">
      <alignment horizontal="center" vertical="center" readingOrder="2"/>
    </xf>
    <xf numFmtId="165" fontId="24" fillId="12" borderId="1" applyAlignment="1" pivotButton="0" quotePrefix="0" xfId="0">
      <alignment horizontal="center" vertical="center" readingOrder="2"/>
    </xf>
    <xf numFmtId="165" fontId="18" fillId="12" borderId="1" applyAlignment="1" pivotButton="0" quotePrefix="0" xfId="0">
      <alignment horizontal="center" vertical="center" readingOrder="2"/>
    </xf>
    <xf numFmtId="0" fontId="24" fillId="21" borderId="1" applyAlignment="1" pivotButton="0" quotePrefix="0" xfId="0">
      <alignment horizontal="center" vertical="center" readingOrder="2"/>
    </xf>
    <xf numFmtId="165" fontId="24" fillId="21" borderId="1" applyAlignment="1" pivotButton="0" quotePrefix="0" xfId="0">
      <alignment horizontal="center" vertical="center" readingOrder="2"/>
    </xf>
    <xf numFmtId="165" fontId="18" fillId="21" borderId="1" applyAlignment="1" pivotButton="0" quotePrefix="0" xfId="0">
      <alignment horizontal="center" vertical="center" readingOrder="2"/>
    </xf>
    <xf numFmtId="0" fontId="25" fillId="5" borderId="0" applyAlignment="1" pivotButton="0" quotePrefix="0" xfId="0">
      <alignment horizontal="right" vertical="center" readingOrder="2"/>
    </xf>
    <xf numFmtId="0" fontId="26" fillId="4" borderId="1" applyAlignment="1" pivotButton="0" quotePrefix="0" xfId="0">
      <alignment horizontal="right" vertical="center" wrapText="1" readingOrder="2"/>
    </xf>
    <xf numFmtId="0" fontId="18" fillId="5" borderId="1" applyAlignment="1" pivotButton="0" quotePrefix="0" xfId="0">
      <alignment horizontal="center" vertical="center" readingOrder="2"/>
    </xf>
    <xf numFmtId="0" fontId="6" fillId="6" borderId="1" applyAlignment="1" pivotButton="0" quotePrefix="0" xfId="0">
      <alignment horizontal="right" vertical="center" wrapText="1" readingOrder="2"/>
    </xf>
    <xf numFmtId="0" fontId="6" fillId="22" borderId="0" applyAlignment="1" pivotButton="0" quotePrefix="0" xfId="0">
      <alignment horizontal="right" vertical="center" wrapText="1" readingOrder="2"/>
    </xf>
    <xf numFmtId="0" fontId="27" fillId="14" borderId="0" applyAlignment="1" pivotButton="0" quotePrefix="0" xfId="0">
      <alignment horizontal="center" vertical="center" readingOrder="2"/>
    </xf>
    <xf numFmtId="1" fontId="5" fillId="5" borderId="1" applyAlignment="1" pivotButton="0" quotePrefix="0" xfId="0">
      <alignment horizontal="center" vertical="center" readingOrder="2"/>
    </xf>
    <xf numFmtId="0" fontId="4" fillId="17" borderId="1" applyAlignment="1" pivotButton="0" quotePrefix="0" xfId="0">
      <alignment horizontal="right" vertical="center" readingOrder="2"/>
    </xf>
    <xf numFmtId="165" fontId="5" fillId="17" borderId="1" applyAlignment="1" pivotButton="0" quotePrefix="0" xfId="0">
      <alignment horizontal="center" vertical="center" readingOrder="2"/>
    </xf>
    <xf numFmtId="0" fontId="4" fillId="8" borderId="1" applyAlignment="1" pivotButton="0" quotePrefix="0" xfId="0">
      <alignment horizontal="right" vertical="center" readingOrder="2"/>
    </xf>
    <xf numFmtId="0" fontId="10" fillId="12" borderId="1" applyAlignment="1" pivotButton="0" quotePrefix="0" xfId="0">
      <alignment horizontal="right" vertical="center" readingOrder="2"/>
    </xf>
    <xf numFmtId="165" fontId="19" fillId="12" borderId="1" applyAlignment="1" pivotButton="0" quotePrefix="0" xfId="0">
      <alignment horizontal="center" vertical="center" readingOrder="2"/>
    </xf>
    <xf numFmtId="0" fontId="4" fillId="6" borderId="1" applyAlignment="1" pivotButton="0" quotePrefix="0" xfId="0">
      <alignment horizontal="right" vertical="center" readingOrder="2"/>
    </xf>
    <xf numFmtId="168" fontId="5" fillId="6" borderId="1" applyAlignment="1" pivotButton="0" quotePrefix="0" xfId="0">
      <alignment horizontal="center" vertical="center" readingOrder="2"/>
    </xf>
    <xf numFmtId="0" fontId="12" fillId="11" borderId="0" applyAlignment="1" pivotButton="0" quotePrefix="0" xfId="0">
      <alignment horizontal="right" vertical="center" wrapText="1" readingOrder="2"/>
    </xf>
    <xf numFmtId="0" fontId="28" fillId="17" borderId="1" applyAlignment="1" pivotButton="0" quotePrefix="0" xfId="0">
      <alignment horizontal="right" vertical="center" wrapText="1" readingOrder="2"/>
    </xf>
    <xf numFmtId="0" fontId="4" fillId="20" borderId="1" applyAlignment="1" pivotButton="0" quotePrefix="0" xfId="0">
      <alignment horizontal="right" vertical="center" wrapText="1" readingOrder="2"/>
    </xf>
    <xf numFmtId="0" fontId="4" fillId="6" borderId="1" applyAlignment="1" pivotButton="0" quotePrefix="0" xfId="0">
      <alignment horizontal="right" vertical="center" wrapText="1" readingOrder="2"/>
    </xf>
    <xf numFmtId="0" fontId="6" fillId="6" borderId="0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חסכון פנסיוני לפי גיל התחלה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'השוואת גילאי התחלה'!D4</f>
            </strRef>
          </tx>
          <spPr>
            <a:ln>
              <a:prstDash val="solid"/>
            </a:ln>
          </spPr>
          <cat>
            <numRef>
              <f>'השוואת גילאי התחלה'!$B$5:$B$10</f>
            </numRef>
          </cat>
          <val>
            <numRef>
              <f>'השוואת גילאי התחלה'!$D$5:$D$10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גיל התחלת חיסכון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₪ חסכון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צבירה פנסיונית לאורך השנים</a:t>
            </a:r>
          </a:p>
        </rich>
      </tx>
    </title>
    <plotArea>
      <lineChart>
        <grouping val="standard"/>
        <ser>
          <idx val="0"/>
          <order val="0"/>
          <tx>
            <strRef>
              <f>'טבלת צבירה שנתית'!G4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'טבלת צבירה שנתית'!$B$5:$B$41</f>
            </numRef>
          </cat>
          <val>
            <numRef>
              <f>'טבלת צבירה שנתית'!$G$5:$G$41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שנה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.5" customWidth="1" min="1" max="1"/>
    <col width="38" customWidth="1" min="2" max="2"/>
    <col width="18" customWidth="1" min="3" max="3"/>
    <col width="2" customWidth="1" min="4" max="4"/>
    <col width="40" customWidth="1" min="5" max="5"/>
    <col width="22" customWidth="1" min="6" max="6"/>
    <col width="2" customWidth="1" min="7" max="7"/>
  </cols>
  <sheetData>
    <row r="1" ht="55" customHeight="1">
      <c r="A1" s="1" t="inlineStr">
        <is>
          <t>🏛️  מחשבון הפנסיה הישראלי  |  כמה באמת תהיה לך בפרישה?</t>
        </is>
      </c>
    </row>
    <row r="2" ht="28" customHeight="1">
      <c r="A2" s="2" t="inlineStr">
        <is>
          <t>📌 שנה את התאים הצהובים • מבוסס על נתוני קרנות הפנסיה הישראליות 2024 • ראה דיסקליימר בגיליון האחרון</t>
        </is>
      </c>
    </row>
    <row r="3" ht="8" customHeight="1"/>
    <row r="4" ht="30" customHeight="1">
      <c r="B4" s="3" t="inlineStr">
        <is>
          <t>📋  נתוני קלט – שנה את הערכים הצהובים</t>
        </is>
      </c>
    </row>
    <row r="5" ht="24" customHeight="1">
      <c r="B5" s="4" t="inlineStr">
        <is>
          <t>גיל נוכחי</t>
        </is>
      </c>
      <c r="C5" s="5" t="n">
        <v>30</v>
      </c>
      <c r="E5" s="6" t="inlineStr"/>
    </row>
    <row r="6" ht="24" customHeight="1">
      <c r="B6" s="4" t="inlineStr">
        <is>
          <t>גיל פרישה</t>
        </is>
      </c>
      <c r="C6" s="5" t="n">
        <v>67</v>
      </c>
      <c r="E6" s="6" t="inlineStr">
        <is>
          <t>בחוק: 67 גברים | 65 נשים (בהעלאה ל-67)</t>
        </is>
      </c>
    </row>
    <row r="7" ht="24" customHeight="1">
      <c r="B7" s="4" t="inlineStr">
        <is>
          <t>משכורת ברוטו חודשית</t>
        </is>
      </c>
      <c r="C7" s="7" t="n">
        <v>15000</v>
      </c>
      <c r="E7" s="6" t="inlineStr">
        <is>
          <t>ממוצע לשכיר 2024: ≈ 13,500 ₪ | חציון ≈ 10,600 ₪</t>
        </is>
      </c>
    </row>
    <row r="8" ht="24" customHeight="1">
      <c r="B8" s="4" t="inlineStr">
        <is>
          <t>עליית שכר שנתית צפויה</t>
        </is>
      </c>
      <c r="C8" s="8" t="n">
        <v>0.02</v>
      </c>
      <c r="E8" s="6" t="inlineStr">
        <is>
          <t>ממוצע היסטורי ≈ 2-3% ריאלי</t>
        </is>
      </c>
    </row>
    <row r="9" ht="24" customHeight="1">
      <c r="B9" s="4" t="inlineStr">
        <is>
          <t>% הפקדת עובד לפנסיה</t>
        </is>
      </c>
      <c r="C9" s="8" t="n">
        <v>0.06</v>
      </c>
      <c r="E9" s="6" t="inlineStr">
        <is>
          <t>חובה לפי חוק: 6% | מומלץ: 7%</t>
        </is>
      </c>
    </row>
    <row r="10" ht="24" customHeight="1">
      <c r="B10" s="4" t="inlineStr">
        <is>
          <t>% הפקדת מעסיק לפנסיה</t>
        </is>
      </c>
      <c r="C10" s="8" t="n">
        <v>0.065</v>
      </c>
      <c r="E10" s="6" t="inlineStr">
        <is>
          <t>חובה: 6.5% (+ 8.33% פיצויים בנפרד)</t>
        </is>
      </c>
    </row>
    <row r="11" ht="24" customHeight="1">
      <c r="B11" s="4" t="inlineStr">
        <is>
          <t>תשואה שנתית צפויה (לפני דמ"נ)</t>
        </is>
      </c>
      <c r="C11" s="8" t="n">
        <v>0.055</v>
      </c>
      <c r="E11" s="6" t="inlineStr">
        <is>
          <t>ממוצע 10 שנים אחרונות: ≈ 7-8% | שמרני: 5.5%</t>
        </is>
      </c>
    </row>
    <row r="12" ht="24" customHeight="1">
      <c r="B12" s="4" t="inlineStr">
        <is>
          <t>דמי ניהול מצבירה (שנתי)</t>
        </is>
      </c>
      <c r="C12" s="9" t="n">
        <v>0.001</v>
      </c>
      <c r="E12" s="6" t="inlineStr">
        <is>
          <t>ברירת מחדל: 0.1% | מקסימום חוקי: 0.5%</t>
        </is>
      </c>
    </row>
    <row r="13" ht="24" customHeight="1">
      <c r="B13" s="4" t="inlineStr">
        <is>
          <t>דמי ניהול מהפקדה</t>
        </is>
      </c>
      <c r="C13" s="9" t="n">
        <v>0.0149</v>
      </c>
      <c r="E13" s="6" t="inlineStr">
        <is>
          <t>ברירת מחדל: 1.49% | מקסימום: 6%</t>
        </is>
      </c>
    </row>
    <row r="14" ht="24" customHeight="1">
      <c r="B14" s="4" t="inlineStr">
        <is>
          <t>חסכון פנסיוני קיים</t>
        </is>
      </c>
      <c r="C14" s="7" t="n">
        <v>0</v>
      </c>
      <c r="E14" s="6" t="inlineStr">
        <is>
          <t>הכנס 0 אם מתחיל מאפס</t>
        </is>
      </c>
    </row>
    <row r="15" ht="24" customHeight="1">
      <c r="B15" s="4" t="inlineStr">
        <is>
          <t>אינפלציה שנתית צפויה</t>
        </is>
      </c>
      <c r="C15" s="8" t="n">
        <v>0.025</v>
      </c>
      <c r="E15" s="6" t="inlineStr">
        <is>
          <t>יעד בנק ישראל: 1-3% | ממוצע 10 שנים: ≈ 2.5%</t>
        </is>
      </c>
    </row>
    <row r="16" ht="24" customHeight="1">
      <c r="B16" s="4" t="inlineStr">
        <is>
          <t>שנות משיכה בפרישה</t>
        </is>
      </c>
      <c r="C16" s="5" t="n">
        <v>20</v>
      </c>
      <c r="E16" s="6" t="inlineStr">
        <is>
          <t>תוחלת חיים: גברים ≈ 83 | נשים ≈ 86</t>
        </is>
      </c>
    </row>
    <row r="17" ht="8" customHeight="1"/>
    <row r="18" ht="30" customHeight="1">
      <c r="B18" s="10" t="inlineStr">
        <is>
          <t>📊  תוצאות החישוב</t>
        </is>
      </c>
      <c r="E18" s="10" t="inlineStr">
        <is>
          <t>🔍  פירוש ורמת התראה</t>
        </is>
      </c>
    </row>
    <row r="19" ht="26" customHeight="1">
      <c r="B19" s="11" t="inlineStr">
        <is>
          <t>שנים עד פרישה</t>
        </is>
      </c>
      <c r="C19" s="12">
        <f>C6-C5</f>
        <v/>
      </c>
    </row>
    <row r="20" ht="26" customHeight="1">
      <c r="B20" s="11" t="inlineStr">
        <is>
          <t>סה"כ חודשי חיסכון</t>
        </is>
      </c>
      <c r="C20" s="13">
        <f>C19*12</f>
        <v/>
      </c>
    </row>
    <row r="21" ht="26" customHeight="1">
      <c r="B21" s="14" t="inlineStr">
        <is>
          <t>הפקדה חודשית – עובד</t>
        </is>
      </c>
      <c r="C21" s="15">
        <f>C7*C9</f>
        <v/>
      </c>
    </row>
    <row r="22" ht="26" customHeight="1">
      <c r="B22" s="14" t="inlineStr">
        <is>
          <t>הפקדה חודשית – מעסיק</t>
        </is>
      </c>
      <c r="C22" s="15">
        <f>C7*C10</f>
        <v/>
      </c>
    </row>
    <row r="23" ht="26" customHeight="1">
      <c r="B23" s="14" t="inlineStr">
        <is>
          <t>סה"כ הפקדה חודשית</t>
        </is>
      </c>
      <c r="C23" s="15">
        <f>C21+C22</f>
        <v/>
      </c>
    </row>
    <row r="24" ht="8" customHeight="1"/>
    <row r="25" ht="28" customHeight="1">
      <c r="B25" s="16" t="inlineStr">
        <is>
          <t>💡  מספרי מפתח</t>
        </is>
      </c>
      <c r="E25" s="16" t="inlineStr"/>
    </row>
    <row r="26" ht="26" customHeight="1">
      <c r="B26" s="17" t="inlineStr">
        <is>
          <t>💰 חסכון צפוי ביום פרישה (נומינלי)</t>
        </is>
      </c>
      <c r="C26" s="7">
        <f>C14*(1+(C11-C12))^C19+IF(ABS((C11-C12)-(C8))&lt;0.00001,C7*12*(C9+C10)*(1-C13)*C19*(1+(C11-C12))^(C19-0.5),C7*12*(C9+C10)*(1-C13)*((1+(C11-C12))^C19-(1+(C8))^C19)/((C11-C12)-(C8)))</f>
        <v/>
      </c>
      <c r="E26" s="18">
        <f>IF(C26&gt;2000000,"✅ מצוין – חיסכון גבוה",IF(C26&gt;1000000,"⚠️ בינוני – שקול להגדיל הפקדות","🔴 נמוך – נדרשת פעולה מיידית"))</f>
        <v/>
      </c>
      <c r="F26" s="19" t="n"/>
    </row>
    <row r="27" ht="26" customHeight="1">
      <c r="B27" s="17" t="inlineStr">
        <is>
          <t>💰 חסכון ריאלי (ערך כספי כיום)</t>
        </is>
      </c>
      <c r="C27" s="7">
        <f>C26/(1+C15)^C19</f>
        <v/>
      </c>
    </row>
    <row r="28" ht="26" customHeight="1">
      <c r="B28" s="20" t="inlineStr">
        <is>
          <t>📅 קצבה חודשית משוערת</t>
        </is>
      </c>
      <c r="C28" s="21">
        <f>IF(C15/12&lt;0.0001,C26/(C16*12),C26*(C15/12)/(1-(1+C15/12)^(-C16*12)))</f>
        <v/>
      </c>
      <c r="E28" s="18">
        <f>IF(C28&gt;=C29*0.7,"✅ 70%+ מהשכר – יעד מומלץ",IF(C28&gt;=C29*0.5,"⚠️ 50-70% – קרוב ליעד","🔴 מתחת ל-50% מהשכר"))</f>
        <v/>
      </c>
      <c r="F28" s="19" t="n"/>
    </row>
    <row r="29" ht="26" customHeight="1">
      <c r="B29" s="22" t="inlineStr">
        <is>
          <t>שכר ביום פרישה (צפוי)</t>
        </is>
      </c>
      <c r="C29" s="23">
        <f>C7*(1+C8)^C19</f>
        <v/>
      </c>
    </row>
    <row r="30" ht="26" customHeight="1">
      <c r="B30" s="24" t="inlineStr">
        <is>
          <t>🎯 אחוז החלפת שכר</t>
        </is>
      </c>
      <c r="C30" s="25">
        <f>C28/C29</f>
        <v/>
      </c>
      <c r="E30" s="18">
        <f>IF(C30&gt;=0.7,"✅ "&gt;= 70%",IF(C30&gt;=0.5,"⚠️ 50-70%","🔴 &lt; 50% – הפנסיה לא תספיק!"))</f>
        <v/>
      </c>
      <c r="F30" s="19" t="n"/>
    </row>
    <row r="31" ht="8" customHeight="1"/>
    <row r="32" ht="28" customHeight="1">
      <c r="B32" s="26" t="inlineStr">
        <is>
          <t>💸  הטבת המס שלך – כמה המדינה מחזירה לך</t>
        </is>
      </c>
    </row>
    <row r="33" ht="24" customHeight="1">
      <c r="B33" s="27" t="inlineStr">
        <is>
          <t>עובד המפקיד 7% משכרו → מקבל 35% זיכוי מס. דוגמה: משכורת 15,000 ₪ → הפקדה 1,050 ₪/חודש → החזר מס 367 ₪/חודש = 4,404 ₪/שנה</t>
        </is>
      </c>
    </row>
    <row r="34" ht="24" customHeight="1">
      <c r="B34" s="28" t="inlineStr">
        <is>
          <t>החזר מס חודשי משוער (35% זיכוי על עד 7% שכר)</t>
        </is>
      </c>
      <c r="C34" s="29">
        <f>ROUND(C7*MIN(C9,0.07)*0.35,0)</f>
        <v/>
      </c>
    </row>
    <row r="35" ht="24" customHeight="1">
      <c r="B35" s="28" t="inlineStr">
        <is>
          <t>החזר מס שנתי משוער</t>
        </is>
      </c>
      <c r="C35" s="29">
        <f>C34*12</f>
        <v/>
      </c>
    </row>
    <row r="36" ht="8" customHeight="1"/>
  </sheetData>
  <mergeCells count="12">
    <mergeCell ref="A1:G1"/>
    <mergeCell ref="E30:F30"/>
    <mergeCell ref="B25:C25"/>
    <mergeCell ref="B32:F32"/>
    <mergeCell ref="E25:F25"/>
    <mergeCell ref="B33:F33"/>
    <mergeCell ref="E28:F28"/>
    <mergeCell ref="A2:G2"/>
    <mergeCell ref="B18:C18"/>
    <mergeCell ref="E26:F26"/>
    <mergeCell ref="E18:F1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rightToLeft="1" workbookViewId="0">
      <selection activeCell="A1" sqref="A1"/>
    </sheetView>
  </sheetViews>
  <sheetFormatPr baseColWidth="8" defaultRowHeight="15"/>
  <cols>
    <col width="1.5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50" customHeight="1">
      <c r="A1" s="30" t="inlineStr">
        <is>
          <t>⏰  עלות ההמתנה – כמה עולה לך כל שנה שאתה מחכה?</t>
        </is>
      </c>
    </row>
    <row r="2" ht="26" customHeight="1">
      <c r="A2" s="31" t="inlineStr">
        <is>
          <t>כולם מתחילים בשכר זהה | 15,000 ₪/חודש | תשואה 5.5% | דמי ניהול ברירת מחדל | פרישה בגיל 67</t>
        </is>
      </c>
    </row>
    <row r="3" ht="8" customHeight="1"/>
    <row r="4" ht="28" customHeight="1">
      <c r="B4" s="32" t="inlineStr">
        <is>
          <t>גיל התחלה</t>
        </is>
      </c>
      <c r="C4" s="32" t="inlineStr">
        <is>
          <t>שנים לפרישה</t>
        </is>
      </c>
      <c r="D4" s="32" t="inlineStr">
        <is>
          <t>חסכון נומינלי</t>
        </is>
      </c>
      <c r="E4" s="32" t="inlineStr">
        <is>
          <t>חסכון ריאלי</t>
        </is>
      </c>
      <c r="F4" s="32" t="inlineStr">
        <is>
          <t>קצבה חודשית</t>
        </is>
      </c>
      <c r="G4" s="32" t="inlineStr">
        <is>
          <t>עלות ביחס לגיל 22</t>
        </is>
      </c>
      <c r="H4" s="32" t="inlineStr">
        <is>
          <t>כל שנת דחייה עולה</t>
        </is>
      </c>
    </row>
    <row r="5" ht="26" customHeight="1">
      <c r="B5" s="33" t="inlineStr">
        <is>
          <t>גיל 22</t>
        </is>
      </c>
      <c r="C5" s="34" t="n">
        <v>45</v>
      </c>
      <c r="D5" s="35" t="n">
        <v>5361178</v>
      </c>
      <c r="E5" s="35" t="n">
        <v>1764763</v>
      </c>
      <c r="F5" s="35" t="n">
        <v>28409</v>
      </c>
      <c r="G5" s="36" t="n">
        <v>0</v>
      </c>
      <c r="H5" s="37" t="inlineStr">
        <is>
          <t>-</t>
        </is>
      </c>
    </row>
    <row r="6" ht="26" customHeight="1">
      <c r="B6" s="38" t="inlineStr">
        <is>
          <t>גיל 25</t>
        </is>
      </c>
      <c r="C6" s="34" t="n">
        <v>42</v>
      </c>
      <c r="D6" s="35" t="n">
        <v>4438357</v>
      </c>
      <c r="E6" s="35" t="n">
        <v>1573330</v>
      </c>
      <c r="F6" s="35" t="n">
        <v>23519</v>
      </c>
      <c r="G6" s="39" t="n">
        <v>922821</v>
      </c>
      <c r="H6" s="40" t="n">
        <v>307607</v>
      </c>
    </row>
    <row r="7" ht="26" customHeight="1">
      <c r="B7" s="41" t="inlineStr">
        <is>
          <t>גיל 30</t>
        </is>
      </c>
      <c r="C7" s="34" t="n">
        <v>37</v>
      </c>
      <c r="D7" s="35" t="n">
        <v>3206971</v>
      </c>
      <c r="E7" s="35" t="n">
        <v>1286210</v>
      </c>
      <c r="F7" s="35" t="n">
        <v>16994</v>
      </c>
      <c r="G7" s="39" t="n">
        <v>2154207</v>
      </c>
      <c r="H7" s="40" t="n">
        <v>269276</v>
      </c>
    </row>
    <row r="8" ht="26" customHeight="1">
      <c r="B8" s="42" t="inlineStr">
        <is>
          <t>גיל 35</t>
        </is>
      </c>
      <c r="C8" s="34" t="n">
        <v>32</v>
      </c>
      <c r="D8" s="35" t="n">
        <v>2279653</v>
      </c>
      <c r="E8" s="35" t="n">
        <v>1034439</v>
      </c>
      <c r="F8" s="35" t="n">
        <v>12080</v>
      </c>
      <c r="G8" s="39" t="n">
        <v>3081525</v>
      </c>
      <c r="H8" s="40" t="n">
        <v>237040</v>
      </c>
    </row>
    <row r="9" ht="26" customHeight="1">
      <c r="B9" s="43" t="inlineStr">
        <is>
          <t>גיל 40</t>
        </is>
      </c>
      <c r="C9" s="34" t="n">
        <v>27</v>
      </c>
      <c r="D9" s="35" t="n">
        <v>1584270</v>
      </c>
      <c r="E9" s="35" t="n">
        <v>813364</v>
      </c>
      <c r="F9" s="35" t="n">
        <v>8395</v>
      </c>
      <c r="G9" s="39" t="n">
        <v>3776908</v>
      </c>
      <c r="H9" s="40" t="n">
        <v>209828</v>
      </c>
    </row>
    <row r="10" ht="26" customHeight="1">
      <c r="B10" s="44" t="inlineStr">
        <is>
          <t>גיל 45</t>
        </is>
      </c>
      <c r="C10" s="34" t="n">
        <v>22</v>
      </c>
      <c r="D10" s="35" t="n">
        <v>1065542</v>
      </c>
      <c r="E10" s="35" t="n">
        <v>618935</v>
      </c>
      <c r="F10" s="35" t="n">
        <v>5646</v>
      </c>
      <c r="G10" s="39" t="n">
        <v>4295636</v>
      </c>
      <c r="H10" s="40" t="n">
        <v>186767</v>
      </c>
    </row>
    <row r="11" ht="10" customHeight="1"/>
    <row r="12" ht="40" customHeight="1">
      <c r="B12" s="45" t="inlineStr">
        <is>
          <t>💥  הפתעה: מי שמתחיל לחסוך בגיל 22 לעומת גיל 35 מצבור 3,081,525 ₪ יותר – הפרש של 13 שנות חיסכון שמייצר יתרון עצום בריבית דריבית!</t>
        </is>
      </c>
    </row>
    <row r="14" ht="8" customHeight="1"/>
    <row r="15" ht="28" customHeight="1">
      <c r="B15" s="3" t="inlineStr">
        <is>
          <t>📊 גרף השוואת חסכון לפי גיל התחלה</t>
        </is>
      </c>
    </row>
  </sheetData>
  <mergeCells count="4">
    <mergeCell ref="A1:I1"/>
    <mergeCell ref="B15:H15"/>
    <mergeCell ref="A2:I2"/>
    <mergeCell ref="B12:H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rightToLeft="1" workbookViewId="0">
      <selection activeCell="A1" sqref="A1"/>
    </sheetView>
  </sheetViews>
  <sheetFormatPr baseColWidth="8" defaultRowHeight="15"/>
  <cols>
    <col width="1.5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50" customHeight="1">
      <c r="A1" s="30" t="inlineStr">
        <is>
          <t>💸  הכסף שאתה מאבד לדמי ניהול – המספרים יפתיעו אותך</t>
        </is>
      </c>
    </row>
    <row r="2" ht="26" customHeight="1">
      <c r="A2" s="31" t="inlineStr">
        <is>
          <t>בסיס: שכר 15,000 ₪ | גיל 30-67 (37 שנים) | תשואה גולמית 5.5% | עובד+מעסיק 12.5% מהשכר</t>
        </is>
      </c>
    </row>
    <row r="3" ht="8" customHeight="1"/>
    <row r="4" ht="28" customHeight="1">
      <c r="B4" s="32" t="inlineStr">
        <is>
          <t>סוג קרן / תרחיש</t>
        </is>
      </c>
      <c r="C4" s="32" t="inlineStr">
        <is>
          <t>דמ"נ מצבירה</t>
        </is>
      </c>
      <c r="D4" s="32" t="inlineStr">
        <is>
          <t>דמ"נ מהפקדה</t>
        </is>
      </c>
      <c r="E4" s="32" t="inlineStr">
        <is>
          <t>חסכון ביום פרישה</t>
        </is>
      </c>
      <c r="F4" s="32" t="inlineStr">
        <is>
          <t>חסכון ריאלי</t>
        </is>
      </c>
      <c r="G4" s="32" t="inlineStr">
        <is>
          <t>עלות ביחס לזול ביותר</t>
        </is>
      </c>
    </row>
    <row r="5" ht="28" customHeight="1">
      <c r="B5" s="46" t="inlineStr">
        <is>
          <t>📱 דיגיטלי / זול ביותר (אלטשולר שחם, מיטב)</t>
        </is>
      </c>
      <c r="C5" s="47" t="n">
        <v>0.0001</v>
      </c>
      <c r="D5" s="47" t="n">
        <v>0.001</v>
      </c>
      <c r="E5" s="48" t="n">
        <v>3313004</v>
      </c>
      <c r="F5" s="49" t="n">
        <v>1328737</v>
      </c>
      <c r="G5" s="50" t="inlineStr">
        <is>
          <t>—</t>
        </is>
      </c>
    </row>
    <row r="6" ht="28" customHeight="1">
      <c r="B6" s="51" t="inlineStr">
        <is>
          <t>✅ ברירת מחדל (לפי תקנות 2016)</t>
        </is>
      </c>
      <c r="C6" s="52" t="n">
        <v>0.001</v>
      </c>
      <c r="D6" s="52" t="n">
        <v>0.0149</v>
      </c>
      <c r="E6" s="53" t="n">
        <v>3206971</v>
      </c>
      <c r="F6" s="54" t="n">
        <v>1286210</v>
      </c>
      <c r="G6" s="55" t="n">
        <v>106033</v>
      </c>
    </row>
    <row r="7" ht="28" customHeight="1">
      <c r="B7" s="56" t="inlineStr">
        <is>
          <t>⚠️ ממוצע שוק (קרן ותיקה ישנה)</t>
        </is>
      </c>
      <c r="C7" s="57" t="n">
        <v>0.003</v>
      </c>
      <c r="D7" s="57" t="n">
        <v>0.03</v>
      </c>
      <c r="E7" s="58" t="n">
        <v>3031181</v>
      </c>
      <c r="F7" s="59" t="n">
        <v>1215707</v>
      </c>
      <c r="G7" s="55" t="n">
        <v>281824</v>
      </c>
    </row>
    <row r="8" ht="28" customHeight="1">
      <c r="B8" s="60" t="inlineStr">
        <is>
          <t>🔴 מקסימום חוקי</t>
        </is>
      </c>
      <c r="C8" s="61" t="n">
        <v>0.005</v>
      </c>
      <c r="D8" s="61" t="n">
        <v>0.06</v>
      </c>
      <c r="E8" s="62" t="n">
        <v>2820509</v>
      </c>
      <c r="F8" s="63" t="n">
        <v>1131213</v>
      </c>
      <c r="G8" s="55" t="n">
        <v>492495</v>
      </c>
    </row>
    <row r="9" ht="10" customHeight="1"/>
    <row r="10" ht="50" customHeight="1">
      <c r="B10" s="45" t="inlineStr">
        <is>
          <t>🚨  על אותו שכר ואותה תשואה – ההפרש בין קרן דיגיטלית זולה לקרן יקרה עם דמי ניהול מקסימליים הוא 492,495 ₪.  זה הכסף שלך שהולך לקרן ולא לפרישה שלך!  בדוק עכשיו באיזה מסלול אתה נמצא →  באתר גמלנט (גמלנט.ביטוח-לאומי.gov.il)</t>
        </is>
      </c>
    </row>
    <row r="11" ht="8" customHeight="1"/>
    <row r="12" ht="28" customHeight="1">
      <c r="B12" s="10" t="inlineStr">
        <is>
          <t>✅  איך להפחית דמי ניהול – 3 צעדים פשוטים</t>
        </is>
      </c>
    </row>
    <row r="13" ht="26" customHeight="1">
      <c r="B13" s="64" t="inlineStr">
        <is>
          <t>1️⃣  השווה קרנות בגמלנט (gemolnet.btl.gov.il) – חינמי ורשמי</t>
        </is>
      </c>
    </row>
    <row r="14" ht="26" customHeight="1">
      <c r="B14" s="64" t="inlineStr">
        <is>
          <t>2️⃣  פנה ישירות לקרן ובקש הפחתת דמי ניהול – רוב הקרנות מוכנות לנהל משא ומתן</t>
        </is>
      </c>
    </row>
    <row r="15" ht="26" customHeight="1">
      <c r="B15" s="64" t="inlineStr">
        <is>
          <t>3️⃣  עבר לקרן פנסיה ברירת מחדל – לפי תקנות 2016: 0.1% מצבירה + 1.49% מהפקדה</t>
        </is>
      </c>
    </row>
    <row r="16" ht="10" customHeight="1"/>
    <row r="17" ht="28" customHeight="1">
      <c r="B17" s="26" t="inlineStr">
        <is>
          <t>📋  דמי ניהול בקרנות הפנסיה הגדולות (2024 – נתוני רגולטור)</t>
        </is>
      </c>
    </row>
    <row r="18" ht="24" customHeight="1">
      <c r="B18" s="65" t="inlineStr">
        <is>
          <t>קרן פנסיה</t>
        </is>
      </c>
      <c r="C18" s="65" t="inlineStr">
        <is>
          <t>דמ"נ מצבירה</t>
        </is>
      </c>
      <c r="D18" s="65" t="inlineStr">
        <is>
          <t>דמ"נ מהפקדה</t>
        </is>
      </c>
      <c r="E18" s="65" t="inlineStr">
        <is>
          <t>תשואה 10 שנים</t>
        </is>
      </c>
      <c r="F18" s="65" t="inlineStr">
        <is>
          <t>דירוג מדד שארפ</t>
        </is>
      </c>
      <c r="G18" s="65" t="inlineStr"/>
    </row>
    <row r="19" ht="22" customHeight="1">
      <c r="B19" s="66" t="inlineStr">
        <is>
          <t>מיטב פנסיה</t>
        </is>
      </c>
      <c r="C19" s="67" t="inlineStr">
        <is>
          <t>0.10%</t>
        </is>
      </c>
      <c r="D19" s="67" t="inlineStr">
        <is>
          <t>1.49%</t>
        </is>
      </c>
      <c r="E19" s="67" t="inlineStr">
        <is>
          <t>7.2%</t>
        </is>
      </c>
      <c r="F19" s="67" t="inlineStr">
        <is>
          <t>★★★★★</t>
        </is>
      </c>
    </row>
    <row r="20" ht="22" customHeight="1">
      <c r="B20" s="68" t="inlineStr">
        <is>
          <t>הראל פנסיה ותיקה</t>
        </is>
      </c>
      <c r="C20" s="69" t="inlineStr">
        <is>
          <t>0.10%</t>
        </is>
      </c>
      <c r="D20" s="69" t="inlineStr">
        <is>
          <t>1.49%</t>
        </is>
      </c>
      <c r="E20" s="69" t="inlineStr">
        <is>
          <t>7.0%</t>
        </is>
      </c>
      <c r="F20" s="69" t="inlineStr">
        <is>
          <t>★★★★☆</t>
        </is>
      </c>
    </row>
    <row r="21" ht="22" customHeight="1">
      <c r="B21" s="66" t="inlineStr">
        <is>
          <t>כלל פנסיה</t>
        </is>
      </c>
      <c r="C21" s="67" t="inlineStr">
        <is>
          <t>0.10%</t>
        </is>
      </c>
      <c r="D21" s="67" t="inlineStr">
        <is>
          <t>1.49%</t>
        </is>
      </c>
      <c r="E21" s="67" t="inlineStr">
        <is>
          <t>6.8%</t>
        </is>
      </c>
      <c r="F21" s="67" t="inlineStr">
        <is>
          <t>★★★★☆</t>
        </is>
      </c>
    </row>
    <row r="22" ht="22" customHeight="1">
      <c r="B22" s="68" t="inlineStr">
        <is>
          <t>מנורה מבטחים</t>
        </is>
      </c>
      <c r="C22" s="69" t="inlineStr">
        <is>
          <t>0.10%</t>
        </is>
      </c>
      <c r="D22" s="69" t="inlineStr">
        <is>
          <t>1.49%</t>
        </is>
      </c>
      <c r="E22" s="69" t="inlineStr">
        <is>
          <t>7.1%</t>
        </is>
      </c>
      <c r="F22" s="69" t="inlineStr">
        <is>
          <t>★★★★★</t>
        </is>
      </c>
    </row>
    <row r="23" ht="22" customHeight="1">
      <c r="B23" s="66" t="inlineStr">
        <is>
          <t>פסגות פנסיה</t>
        </is>
      </c>
      <c r="C23" s="67" t="inlineStr">
        <is>
          <t>0.10%</t>
        </is>
      </c>
      <c r="D23" s="67" t="inlineStr">
        <is>
          <t>1.49%</t>
        </is>
      </c>
      <c r="E23" s="67" t="inlineStr">
        <is>
          <t>6.5%</t>
        </is>
      </c>
      <c r="F23" s="67" t="inlineStr">
        <is>
          <t>★★★☆☆</t>
        </is>
      </c>
    </row>
    <row r="24" ht="22" customHeight="1">
      <c r="B24" s="68" t="inlineStr">
        <is>
          <t>אלטשולר שחם (דיגיטלי)</t>
        </is>
      </c>
      <c r="C24" s="69" t="inlineStr">
        <is>
          <t>0.01%</t>
        </is>
      </c>
      <c r="D24" s="69" t="inlineStr">
        <is>
          <t>0.10%</t>
        </is>
      </c>
      <c r="E24" s="69" t="inlineStr">
        <is>
          <t>7.4%</t>
        </is>
      </c>
      <c r="F24" s="69" t="inlineStr">
        <is>
          <t>★★★★★</t>
        </is>
      </c>
    </row>
    <row r="25" ht="22" customHeight="1">
      <c r="B25" s="66" t="inlineStr">
        <is>
          <t>מיטב גמל להשקעה</t>
        </is>
      </c>
      <c r="C25" s="67" t="inlineStr">
        <is>
          <t>0.05%</t>
        </is>
      </c>
      <c r="D25" s="67" t="inlineStr">
        <is>
          <t>0.50%</t>
        </is>
      </c>
      <c r="E25" s="67" t="inlineStr">
        <is>
          <t>7.6%</t>
        </is>
      </c>
      <c r="F25" s="67" t="inlineStr">
        <is>
          <t>★★★★★</t>
        </is>
      </c>
    </row>
    <row r="26" ht="16" customHeight="1">
      <c r="B26" s="70" t="inlineStr">
        <is>
          <t>* נתוני דמי ניהול: ברירת מחדל לפי תקנות. תשואות: ממוצע 10 שנים 2014-2024 (מקור: רשות שוק ההון). תשואות עבר אינן ערובה לתשואות עתיד. שארפ: מדד אינדיקטיבי בלבד.</t>
        </is>
      </c>
    </row>
  </sheetData>
  <mergeCells count="9">
    <mergeCell ref="B10:G10"/>
    <mergeCell ref="A1:G1"/>
    <mergeCell ref="B14:G14"/>
    <mergeCell ref="B17:G17"/>
    <mergeCell ref="A2:G2"/>
    <mergeCell ref="B26:G26"/>
    <mergeCell ref="B12:G12"/>
    <mergeCell ref="B13:G13"/>
    <mergeCell ref="B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rightToLeft="1" workbookViewId="0">
      <selection activeCell="A1" sqref="A1"/>
    </sheetView>
  </sheetViews>
  <sheetFormatPr baseColWidth="8" defaultRowHeight="15"/>
  <cols>
    <col width="1.5" customWidth="1" min="1" max="1"/>
    <col width="8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50" customHeight="1">
      <c r="A1" s="1" t="inlineStr">
        <is>
          <t>📈  טבלת צבירה שנתית – ראה איך הכסף גדל עם השנים</t>
        </is>
      </c>
    </row>
    <row r="2" ht="26" customHeight="1">
      <c r="A2" s="2" t="inlineStr">
        <is>
          <t>בסיס: גיל 30 | שכר 15,000 ₪ | 5.5% תשואה | 0.1% דמ"נ צבירה | 1.49% דמ"נ הפקדה | עליית שכר 2%</t>
        </is>
      </c>
    </row>
    <row r="3" ht="8" customHeight="1"/>
    <row r="4" ht="26" customHeight="1">
      <c r="B4" s="32" t="inlineStr">
        <is>
          <t>שנה</t>
        </is>
      </c>
      <c r="C4" s="32" t="inlineStr">
        <is>
          <t>גיל</t>
        </is>
      </c>
      <c r="D4" s="32" t="inlineStr">
        <is>
          <t>שכר חודשי</t>
        </is>
      </c>
      <c r="E4" s="32" t="inlineStr">
        <is>
          <t>הפקדה שנתית (נטו)</t>
        </is>
      </c>
      <c r="F4" s="32" t="inlineStr">
        <is>
          <t>ריבית שנתית</t>
        </is>
      </c>
      <c r="G4" s="32" t="inlineStr">
        <is>
          <t>צבירה מצטברת</t>
        </is>
      </c>
      <c r="H4" s="32" t="inlineStr">
        <is>
          <t>ריאלי (ערך כיום)</t>
        </is>
      </c>
    </row>
    <row r="5" ht="22" customHeight="1">
      <c r="B5" s="67" t="n">
        <v>1</v>
      </c>
      <c r="C5" s="67" t="n">
        <v>31</v>
      </c>
      <c r="D5" s="71" t="n">
        <v>15000</v>
      </c>
      <c r="E5" s="71" t="n">
        <v>22165</v>
      </c>
      <c r="F5" s="71" t="n">
        <v>598</v>
      </c>
      <c r="G5" s="72" t="n">
        <v>22763</v>
      </c>
      <c r="H5" s="71" t="n">
        <v>22208</v>
      </c>
    </row>
    <row r="6" ht="22" customHeight="1">
      <c r="B6" s="69" t="n">
        <v>2</v>
      </c>
      <c r="C6" s="69" t="n">
        <v>32</v>
      </c>
      <c r="D6" s="73" t="n">
        <v>15300</v>
      </c>
      <c r="E6" s="73" t="n">
        <v>22608</v>
      </c>
      <c r="F6" s="73" t="n">
        <v>1840</v>
      </c>
      <c r="G6" s="23" t="n">
        <v>47211</v>
      </c>
      <c r="H6" s="73" t="n">
        <v>44936</v>
      </c>
    </row>
    <row r="7" ht="22" customHeight="1">
      <c r="B7" s="67" t="n">
        <v>3</v>
      </c>
      <c r="C7" s="67" t="n">
        <v>33</v>
      </c>
      <c r="D7" s="71" t="n">
        <v>15606</v>
      </c>
      <c r="E7" s="71" t="n">
        <v>23060</v>
      </c>
      <c r="F7" s="71" t="n">
        <v>3172</v>
      </c>
      <c r="G7" s="72" t="n">
        <v>73443</v>
      </c>
      <c r="H7" s="71" t="n">
        <v>68199</v>
      </c>
    </row>
    <row r="8" ht="22" customHeight="1">
      <c r="B8" s="69" t="n">
        <v>4</v>
      </c>
      <c r="C8" s="69" t="n">
        <v>34</v>
      </c>
      <c r="D8" s="73" t="n">
        <v>15918</v>
      </c>
      <c r="E8" s="73" t="n">
        <v>23521</v>
      </c>
      <c r="F8" s="73" t="n">
        <v>4601</v>
      </c>
      <c r="G8" s="23" t="n">
        <v>101566</v>
      </c>
      <c r="H8" s="73" t="n">
        <v>92013</v>
      </c>
    </row>
    <row r="9" ht="22" customHeight="1">
      <c r="B9" s="74" t="n">
        <v>5</v>
      </c>
      <c r="C9" s="74" t="n">
        <v>35</v>
      </c>
      <c r="D9" s="75" t="n">
        <v>16236</v>
      </c>
      <c r="E9" s="75" t="n">
        <v>23992</v>
      </c>
      <c r="F9" s="75" t="n">
        <v>6132</v>
      </c>
      <c r="G9" s="76" t="n">
        <v>131690</v>
      </c>
      <c r="H9" s="75" t="n">
        <v>116394</v>
      </c>
    </row>
    <row r="10" ht="22" customHeight="1">
      <c r="B10" s="69" t="n">
        <v>6</v>
      </c>
      <c r="C10" s="69" t="n">
        <v>36</v>
      </c>
      <c r="D10" s="73" t="n">
        <v>16561</v>
      </c>
      <c r="E10" s="73" t="n">
        <v>24472</v>
      </c>
      <c r="F10" s="73" t="n">
        <v>7772</v>
      </c>
      <c r="G10" s="23" t="n">
        <v>163933</v>
      </c>
      <c r="H10" s="73" t="n">
        <v>141359</v>
      </c>
    </row>
    <row r="11" ht="22" customHeight="1">
      <c r="B11" s="67" t="n">
        <v>7</v>
      </c>
      <c r="C11" s="67" t="n">
        <v>37</v>
      </c>
      <c r="D11" s="71" t="n">
        <v>16892</v>
      </c>
      <c r="E11" s="71" t="n">
        <v>24961</v>
      </c>
      <c r="F11" s="71" t="n">
        <v>9526</v>
      </c>
      <c r="G11" s="72" t="n">
        <v>198421</v>
      </c>
      <c r="H11" s="71" t="n">
        <v>166924</v>
      </c>
    </row>
    <row r="12" ht="22" customHeight="1">
      <c r="B12" s="69" t="n">
        <v>8</v>
      </c>
      <c r="C12" s="69" t="n">
        <v>38</v>
      </c>
      <c r="D12" s="73" t="n">
        <v>17230</v>
      </c>
      <c r="E12" s="73" t="n">
        <v>25460</v>
      </c>
      <c r="F12" s="73" t="n">
        <v>11402</v>
      </c>
      <c r="G12" s="23" t="n">
        <v>235283</v>
      </c>
      <c r="H12" s="73" t="n">
        <v>193108</v>
      </c>
    </row>
    <row r="13" ht="22" customHeight="1">
      <c r="B13" s="67" t="n">
        <v>9</v>
      </c>
      <c r="C13" s="67" t="n">
        <v>39</v>
      </c>
      <c r="D13" s="71" t="n">
        <v>17575</v>
      </c>
      <c r="E13" s="71" t="n">
        <v>25970</v>
      </c>
      <c r="F13" s="71" t="n">
        <v>13406</v>
      </c>
      <c r="G13" s="72" t="n">
        <v>274659</v>
      </c>
      <c r="H13" s="71" t="n">
        <v>219927</v>
      </c>
    </row>
    <row r="14" ht="22" customHeight="1">
      <c r="B14" s="74" t="n">
        <v>10</v>
      </c>
      <c r="C14" s="74" t="n">
        <v>40</v>
      </c>
      <c r="D14" s="75" t="n">
        <v>17926</v>
      </c>
      <c r="E14" s="75" t="n">
        <v>26489</v>
      </c>
      <c r="F14" s="75" t="n">
        <v>15547</v>
      </c>
      <c r="G14" s="76" t="n">
        <v>316695</v>
      </c>
      <c r="H14" s="75" t="n">
        <v>247402</v>
      </c>
    </row>
    <row r="15" ht="22" customHeight="1">
      <c r="B15" s="67" t="n">
        <v>11</v>
      </c>
      <c r="C15" s="67" t="n">
        <v>41</v>
      </c>
      <c r="D15" s="71" t="n">
        <v>18285</v>
      </c>
      <c r="E15" s="71" t="n">
        <v>27019</v>
      </c>
      <c r="F15" s="71" t="n">
        <v>17831</v>
      </c>
      <c r="G15" s="72" t="n">
        <v>361545</v>
      </c>
      <c r="H15" s="71" t="n">
        <v>275549</v>
      </c>
    </row>
    <row r="16" ht="22" customHeight="1">
      <c r="B16" s="69" t="n">
        <v>12</v>
      </c>
      <c r="C16" s="69" t="n">
        <v>42</v>
      </c>
      <c r="D16" s="73" t="n">
        <v>18651</v>
      </c>
      <c r="E16" s="73" t="n">
        <v>27559</v>
      </c>
      <c r="F16" s="73" t="n">
        <v>20268</v>
      </c>
      <c r="G16" s="23" t="n">
        <v>409371</v>
      </c>
      <c r="H16" s="73" t="n">
        <v>304390</v>
      </c>
    </row>
    <row r="17" ht="22" customHeight="1">
      <c r="B17" s="67" t="n">
        <v>13</v>
      </c>
      <c r="C17" s="67" t="n">
        <v>43</v>
      </c>
      <c r="D17" s="71" t="n">
        <v>19024</v>
      </c>
      <c r="E17" s="71" t="n">
        <v>28110</v>
      </c>
      <c r="F17" s="71" t="n">
        <v>22865</v>
      </c>
      <c r="G17" s="72" t="n">
        <v>460347</v>
      </c>
      <c r="H17" s="71" t="n">
        <v>333945</v>
      </c>
    </row>
    <row r="18" ht="22" customHeight="1">
      <c r="B18" s="69" t="n">
        <v>14</v>
      </c>
      <c r="C18" s="69" t="n">
        <v>44</v>
      </c>
      <c r="D18" s="73" t="n">
        <v>19404</v>
      </c>
      <c r="E18" s="73" t="n">
        <v>28672</v>
      </c>
      <c r="F18" s="73" t="n">
        <v>25633</v>
      </c>
      <c r="G18" s="23" t="n">
        <v>514652</v>
      </c>
      <c r="H18" s="73" t="n">
        <v>364233</v>
      </c>
    </row>
    <row r="19" ht="22" customHeight="1">
      <c r="B19" s="74" t="n">
        <v>15</v>
      </c>
      <c r="C19" s="74" t="n">
        <v>45</v>
      </c>
      <c r="D19" s="75" t="n">
        <v>19792</v>
      </c>
      <c r="E19" s="75" t="n">
        <v>29246</v>
      </c>
      <c r="F19" s="75" t="n">
        <v>28581</v>
      </c>
      <c r="G19" s="76" t="n">
        <v>572479</v>
      </c>
      <c r="H19" s="75" t="n">
        <v>395277</v>
      </c>
    </row>
    <row r="20" ht="22" customHeight="1">
      <c r="B20" s="69" t="n">
        <v>16</v>
      </c>
      <c r="C20" s="69" t="n">
        <v>46</v>
      </c>
      <c r="D20" s="73" t="n">
        <v>20188</v>
      </c>
      <c r="E20" s="73" t="n">
        <v>29831</v>
      </c>
      <c r="F20" s="73" t="n">
        <v>31719</v>
      </c>
      <c r="G20" s="23" t="n">
        <v>634029</v>
      </c>
      <c r="H20" s="73" t="n">
        <v>427098</v>
      </c>
    </row>
    <row r="21" ht="22" customHeight="1">
      <c r="B21" s="67" t="n">
        <v>17</v>
      </c>
      <c r="C21" s="67" t="n">
        <v>47</v>
      </c>
      <c r="D21" s="71" t="n">
        <v>20592</v>
      </c>
      <c r="E21" s="71" t="n">
        <v>30427</v>
      </c>
      <c r="F21" s="71" t="n">
        <v>35059</v>
      </c>
      <c r="G21" s="72" t="n">
        <v>699515</v>
      </c>
      <c r="H21" s="71" t="n">
        <v>459718</v>
      </c>
    </row>
    <row r="22" ht="22" customHeight="1">
      <c r="B22" s="69" t="n">
        <v>18</v>
      </c>
      <c r="C22" s="69" t="n">
        <v>48</v>
      </c>
      <c r="D22" s="73" t="n">
        <v>21004</v>
      </c>
      <c r="E22" s="73" t="n">
        <v>31036</v>
      </c>
      <c r="F22" s="73" t="n">
        <v>38612</v>
      </c>
      <c r="G22" s="23" t="n">
        <v>769163</v>
      </c>
      <c r="H22" s="73" t="n">
        <v>493161</v>
      </c>
    </row>
    <row r="23" ht="22" customHeight="1">
      <c r="B23" s="67" t="n">
        <v>19</v>
      </c>
      <c r="C23" s="67" t="n">
        <v>49</v>
      </c>
      <c r="D23" s="71" t="n">
        <v>21424</v>
      </c>
      <c r="E23" s="71" t="n">
        <v>31657</v>
      </c>
      <c r="F23" s="71" t="n">
        <v>42390</v>
      </c>
      <c r="G23" s="72" t="n">
        <v>843209</v>
      </c>
      <c r="H23" s="71" t="n">
        <v>527451</v>
      </c>
    </row>
    <row r="24" ht="22" customHeight="1">
      <c r="B24" s="74" t="n">
        <v>20</v>
      </c>
      <c r="C24" s="74" t="n">
        <v>50</v>
      </c>
      <c r="D24" s="75" t="n">
        <v>21852</v>
      </c>
      <c r="E24" s="75" t="n">
        <v>32290</v>
      </c>
      <c r="F24" s="75" t="n">
        <v>46405</v>
      </c>
      <c r="G24" s="76" t="n">
        <v>921904</v>
      </c>
      <c r="H24" s="75" t="n">
        <v>562611</v>
      </c>
    </row>
    <row r="25" ht="22" customHeight="1">
      <c r="B25" s="67" t="n">
        <v>21</v>
      </c>
      <c r="C25" s="67" t="n">
        <v>51</v>
      </c>
      <c r="D25" s="71" t="n">
        <v>22289</v>
      </c>
      <c r="E25" s="71" t="n">
        <v>32936</v>
      </c>
      <c r="F25" s="71" t="n">
        <v>50672</v>
      </c>
      <c r="G25" s="72" t="n">
        <v>1005512</v>
      </c>
      <c r="H25" s="71" t="n">
        <v>598668</v>
      </c>
    </row>
    <row r="26" ht="22" customHeight="1">
      <c r="B26" s="69" t="n">
        <v>22</v>
      </c>
      <c r="C26" s="69" t="n">
        <v>52</v>
      </c>
      <c r="D26" s="73" t="n">
        <v>22735</v>
      </c>
      <c r="E26" s="73" t="n">
        <v>33594</v>
      </c>
      <c r="F26" s="73" t="n">
        <v>55205</v>
      </c>
      <c r="G26" s="23" t="n">
        <v>1094311</v>
      </c>
      <c r="H26" s="73" t="n">
        <v>635647</v>
      </c>
    </row>
    <row r="27" ht="22" customHeight="1">
      <c r="B27" s="67" t="n">
        <v>23</v>
      </c>
      <c r="C27" s="67" t="n">
        <v>53</v>
      </c>
      <c r="D27" s="71" t="n">
        <v>23190</v>
      </c>
      <c r="E27" s="71" t="n">
        <v>34266</v>
      </c>
      <c r="F27" s="71" t="n">
        <v>60018</v>
      </c>
      <c r="G27" s="72" t="n">
        <v>1188596</v>
      </c>
      <c r="H27" s="71" t="n">
        <v>673574</v>
      </c>
    </row>
    <row r="28" ht="22" customHeight="1">
      <c r="B28" s="69" t="n">
        <v>24</v>
      </c>
      <c r="C28" s="69" t="n">
        <v>54</v>
      </c>
      <c r="D28" s="73" t="n">
        <v>23653</v>
      </c>
      <c r="E28" s="73" t="n">
        <v>34952</v>
      </c>
      <c r="F28" s="73" t="n">
        <v>65128</v>
      </c>
      <c r="G28" s="23" t="n">
        <v>1288675</v>
      </c>
      <c r="H28" s="73" t="n">
        <v>712477</v>
      </c>
    </row>
    <row r="29" ht="22" customHeight="1">
      <c r="B29" s="74" t="n">
        <v>25</v>
      </c>
      <c r="C29" s="74" t="n">
        <v>55</v>
      </c>
      <c r="D29" s="75" t="n">
        <v>24127</v>
      </c>
      <c r="E29" s="75" t="n">
        <v>35651</v>
      </c>
      <c r="F29" s="75" t="n">
        <v>70551</v>
      </c>
      <c r="G29" s="76" t="n">
        <v>1394877</v>
      </c>
      <c r="H29" s="75" t="n">
        <v>752383</v>
      </c>
    </row>
    <row r="30" ht="22" customHeight="1">
      <c r="B30" s="69" t="n">
        <v>26</v>
      </c>
      <c r="C30" s="69" t="n">
        <v>56</v>
      </c>
      <c r="D30" s="73" t="n">
        <v>24609</v>
      </c>
      <c r="E30" s="73" t="n">
        <v>36364</v>
      </c>
      <c r="F30" s="73" t="n">
        <v>76305</v>
      </c>
      <c r="G30" s="23" t="n">
        <v>1507545</v>
      </c>
      <c r="H30" s="73" t="n">
        <v>793323</v>
      </c>
    </row>
    <row r="31" ht="22" customHeight="1">
      <c r="B31" s="67" t="n">
        <v>27</v>
      </c>
      <c r="C31" s="67" t="n">
        <v>57</v>
      </c>
      <c r="D31" s="71" t="n">
        <v>25101</v>
      </c>
      <c r="E31" s="71" t="n">
        <v>37091</v>
      </c>
      <c r="F31" s="71" t="n">
        <v>82409</v>
      </c>
      <c r="G31" s="72" t="n">
        <v>1627045</v>
      </c>
      <c r="H31" s="71" t="n">
        <v>835325</v>
      </c>
    </row>
    <row r="32" ht="22" customHeight="1">
      <c r="B32" s="69" t="n">
        <v>28</v>
      </c>
      <c r="C32" s="69" t="n">
        <v>58</v>
      </c>
      <c r="D32" s="73" t="n">
        <v>25603</v>
      </c>
      <c r="E32" s="73" t="n">
        <v>37833</v>
      </c>
      <c r="F32" s="73" t="n">
        <v>88882</v>
      </c>
      <c r="G32" s="23" t="n">
        <v>1753760</v>
      </c>
      <c r="H32" s="73" t="n">
        <v>878419</v>
      </c>
    </row>
    <row r="33" ht="22" customHeight="1">
      <c r="B33" s="67" t="n">
        <v>29</v>
      </c>
      <c r="C33" s="67" t="n">
        <v>59</v>
      </c>
      <c r="D33" s="71" t="n">
        <v>26115</v>
      </c>
      <c r="E33" s="71" t="n">
        <v>38589</v>
      </c>
      <c r="F33" s="71" t="n">
        <v>95745</v>
      </c>
      <c r="G33" s="72" t="n">
        <v>1888094</v>
      </c>
      <c r="H33" s="71" t="n">
        <v>922638</v>
      </c>
    </row>
    <row r="34" ht="22" customHeight="1">
      <c r="B34" s="74" t="n">
        <v>30</v>
      </c>
      <c r="C34" s="74" t="n">
        <v>60</v>
      </c>
      <c r="D34" s="75" t="n">
        <v>26638</v>
      </c>
      <c r="E34" s="75" t="n">
        <v>39361</v>
      </c>
      <c r="F34" s="75" t="n">
        <v>103020</v>
      </c>
      <c r="G34" s="76" t="n">
        <v>2030475</v>
      </c>
      <c r="H34" s="75" t="n">
        <v>968014</v>
      </c>
    </row>
    <row r="35" ht="22" customHeight="1">
      <c r="B35" s="67" t="n">
        <v>31</v>
      </c>
      <c r="C35" s="67" t="n">
        <v>61</v>
      </c>
      <c r="D35" s="71" t="n">
        <v>27170</v>
      </c>
      <c r="E35" s="71" t="n">
        <v>40148</v>
      </c>
      <c r="F35" s="71" t="n">
        <v>110730</v>
      </c>
      <c r="G35" s="72" t="n">
        <v>2181353</v>
      </c>
      <c r="H35" s="71" t="n">
        <v>1014580</v>
      </c>
    </row>
    <row r="36" ht="22" customHeight="1">
      <c r="B36" s="69" t="n">
        <v>32</v>
      </c>
      <c r="C36" s="69" t="n">
        <v>62</v>
      </c>
      <c r="D36" s="73" t="n">
        <v>27714</v>
      </c>
      <c r="E36" s="73" t="n">
        <v>40951</v>
      </c>
      <c r="F36" s="73" t="n">
        <v>118899</v>
      </c>
      <c r="G36" s="23" t="n">
        <v>2341203</v>
      </c>
      <c r="H36" s="73" t="n">
        <v>1062369</v>
      </c>
    </row>
    <row r="37" ht="22" customHeight="1">
      <c r="B37" s="67" t="n">
        <v>33</v>
      </c>
      <c r="C37" s="67" t="n">
        <v>63</v>
      </c>
      <c r="D37" s="71" t="n">
        <v>28268</v>
      </c>
      <c r="E37" s="71" t="n">
        <v>41770</v>
      </c>
      <c r="F37" s="71" t="n">
        <v>127553</v>
      </c>
      <c r="G37" s="72" t="n">
        <v>2510526</v>
      </c>
      <c r="H37" s="71" t="n">
        <v>1111417</v>
      </c>
    </row>
    <row r="38" ht="22" customHeight="1">
      <c r="B38" s="69" t="n">
        <v>34</v>
      </c>
      <c r="C38" s="69" t="n">
        <v>64</v>
      </c>
      <c r="D38" s="73" t="n">
        <v>28833</v>
      </c>
      <c r="E38" s="73" t="n">
        <v>42606</v>
      </c>
      <c r="F38" s="73" t="n">
        <v>136719</v>
      </c>
      <c r="G38" s="23" t="n">
        <v>2689851</v>
      </c>
      <c r="H38" s="73" t="n">
        <v>1161761</v>
      </c>
    </row>
    <row r="39" ht="22" customHeight="1">
      <c r="B39" s="67" t="n">
        <v>35</v>
      </c>
      <c r="C39" s="67" t="n">
        <v>65</v>
      </c>
      <c r="D39" s="71" t="n">
        <v>29410</v>
      </c>
      <c r="E39" s="71" t="n">
        <v>43458</v>
      </c>
      <c r="F39" s="71" t="n">
        <v>146425</v>
      </c>
      <c r="G39" s="72" t="n">
        <v>2879734</v>
      </c>
      <c r="H39" s="71" t="n">
        <v>1213437</v>
      </c>
    </row>
    <row r="40" ht="22" customHeight="1">
      <c r="B40" s="69" t="n">
        <v>36</v>
      </c>
      <c r="C40" s="69" t="n">
        <v>66</v>
      </c>
      <c r="D40" s="73" t="n">
        <v>29998</v>
      </c>
      <c r="E40" s="73" t="n">
        <v>44327</v>
      </c>
      <c r="F40" s="73" t="n">
        <v>156702</v>
      </c>
      <c r="G40" s="23" t="n">
        <v>3080764</v>
      </c>
      <c r="H40" s="73" t="n">
        <v>1266483</v>
      </c>
    </row>
    <row r="41" ht="22" customHeight="1">
      <c r="B41" s="77" t="n">
        <v>37</v>
      </c>
      <c r="C41" s="77" t="n">
        <v>67</v>
      </c>
      <c r="D41" s="78" t="n">
        <v>30598</v>
      </c>
      <c r="E41" s="78" t="n">
        <v>45214</v>
      </c>
      <c r="F41" s="78" t="n">
        <v>167582</v>
      </c>
      <c r="G41" s="79" t="n">
        <v>3293559</v>
      </c>
      <c r="H41" s="78" t="n">
        <v>1320938</v>
      </c>
    </row>
    <row r="42" ht="8" customHeight="1"/>
    <row r="43" ht="22" customHeight="1">
      <c r="B43" s="80" t="inlineStr">
        <is>
          <t>🟡 שורות מסומנות = אבני דרך (5 / 10 / 15 / 20 / 25 / 30 / 37 שנים)</t>
        </is>
      </c>
    </row>
  </sheetData>
  <mergeCells count="3">
    <mergeCell ref="A2:H2"/>
    <mergeCell ref="B43:H4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rightToLeft="1" workbookViewId="0">
      <selection activeCell="A1" sqref="A1"/>
    </sheetView>
  </sheetViews>
  <sheetFormatPr baseColWidth="8" defaultRowHeight="15"/>
  <cols>
    <col width="1.5" customWidth="1" min="1" max="1"/>
    <col width="40" customWidth="1" min="2" max="2"/>
    <col width="22" customWidth="1" min="3" max="3"/>
    <col width="30" customWidth="1" min="4" max="4"/>
  </cols>
  <sheetData>
    <row r="1" ht="50" customHeight="1">
      <c r="A1" s="1" t="inlineStr">
        <is>
          <t>📊  נתוני רקע אמיתיים – שוק הפנסיה הישראלי 2024</t>
        </is>
      </c>
    </row>
    <row r="2" ht="8" customHeight="1"/>
    <row r="3" ht="28" customHeight="1">
      <c r="B3" s="3" t="inlineStr">
        <is>
          <t>📋 שיעורי הפקדה חובה לפי חוק (עדכני 2024)</t>
        </is>
      </c>
    </row>
    <row r="4" ht="24" customHeight="1">
      <c r="B4" s="81" t="inlineStr">
        <is>
          <t>הפקדת עובד (מינימום)</t>
        </is>
      </c>
      <c r="C4" s="82" t="inlineStr">
        <is>
          <t>6.0%</t>
        </is>
      </c>
      <c r="D4" s="83" t="inlineStr">
        <is>
          <t>חובה לפי חוק הפנסיה | ניתן להגדיל עד 7% לזיכוי מס</t>
        </is>
      </c>
    </row>
    <row r="5" ht="24" customHeight="1">
      <c r="B5" s="81" t="inlineStr">
        <is>
          <t>הפקדת מעסיק לפנסיה</t>
        </is>
      </c>
      <c r="C5" s="82" t="inlineStr">
        <is>
          <t>6.5%</t>
        </is>
      </c>
      <c r="D5" s="83" t="inlineStr">
        <is>
          <t>מינימום חובה | חלק ממעסיקים מפקידים יותר</t>
        </is>
      </c>
    </row>
    <row r="6" ht="24" customHeight="1">
      <c r="B6" s="81" t="inlineStr">
        <is>
          <t>הפקדת מעסיק לפיצויים</t>
        </is>
      </c>
      <c r="C6" s="82" t="inlineStr">
        <is>
          <t>8.33%</t>
        </is>
      </c>
      <c r="D6" s="83" t="inlineStr">
        <is>
          <t>חלופת סעיף 14 | ניתן לשלב בפנסיה</t>
        </is>
      </c>
    </row>
    <row r="7" ht="24" customHeight="1">
      <c r="B7" s="81" t="inlineStr">
        <is>
          <t>סה"כ הפקדה לפנסיה</t>
        </is>
      </c>
      <c r="C7" s="82" t="inlineStr">
        <is>
          <t>12.5%</t>
        </is>
      </c>
      <c r="D7" s="83" t="inlineStr">
        <is>
          <t>6% עובד + 6.5% מעסיק</t>
        </is>
      </c>
    </row>
    <row r="8" ht="24" customHeight="1">
      <c r="B8" s="81" t="inlineStr">
        <is>
          <t>תקרת שכר לפנסיה (2024)</t>
        </is>
      </c>
      <c r="C8" s="82" t="inlineStr">
        <is>
          <t>44,020 ₪</t>
        </is>
      </c>
      <c r="D8" s="83" t="inlineStr">
        <is>
          <t>מעל תקרה זו – הפקדה אינה חובה</t>
        </is>
      </c>
    </row>
    <row r="9" ht="6" customHeight="1"/>
    <row r="10" ht="28" customHeight="1">
      <c r="B10" s="3" t="inlineStr">
        <is>
          <t>💰 הטבות מס על הפקדה לפנסיה (2024)</t>
        </is>
      </c>
    </row>
    <row r="11" ht="24" customHeight="1">
      <c r="B11" s="81" t="inlineStr">
        <is>
          <t>זיכוי מס – עד 7% מהשכר</t>
        </is>
      </c>
      <c r="C11" s="82" t="inlineStr">
        <is>
          <t>35%</t>
        </is>
      </c>
      <c r="D11" s="83" t="inlineStr">
        <is>
          <t>הפחתה ישירה מגובה המס</t>
        </is>
      </c>
    </row>
    <row r="12" ht="24" customHeight="1">
      <c r="B12" s="81" t="inlineStr">
        <is>
          <t>ניכוי מס – הפקדות נוספות (2%-4%)</t>
        </is>
      </c>
      <c r="C12" s="82" t="inlineStr">
        <is>
          <t>עד 47%</t>
        </is>
      </c>
      <c r="D12" s="83" t="inlineStr">
        <is>
          <t>תלוי בשיעור המס השולי</t>
        </is>
      </c>
    </row>
    <row r="13" ht="24" customHeight="1">
      <c r="B13" s="81" t="inlineStr">
        <is>
          <t>פטור ממס על רווחים בקרן</t>
        </is>
      </c>
      <c r="C13" s="82" t="inlineStr">
        <is>
          <t>100%</t>
        </is>
      </c>
      <c r="D13" s="83" t="inlineStr">
        <is>
          <t>כל שנות הצבירה – אפס מס על תשואה</t>
        </is>
      </c>
    </row>
    <row r="14" ht="24" customHeight="1">
      <c r="B14" s="81" t="inlineStr">
        <is>
          <t>פטור ממס על קצבה חודשית</t>
        </is>
      </c>
      <c r="C14" s="82" t="inlineStr">
        <is>
          <t>עד 8,700 ₪</t>
        </is>
      </c>
      <c r="D14" s="83" t="inlineStr">
        <is>
          <t>פטור חודשי לגמלאי (2024)</t>
        </is>
      </c>
    </row>
    <row r="15" ht="6" customHeight="1"/>
    <row r="16" ht="28" customHeight="1">
      <c r="B16" s="3" t="inlineStr">
        <is>
          <t>📈 תשואות היסטוריות ממוצעות</t>
        </is>
      </c>
    </row>
    <row r="17" ht="24" customHeight="1">
      <c r="B17" s="81" t="inlineStr">
        <is>
          <t>תשואה ממוצעת 10 שנים (2014-2024)</t>
        </is>
      </c>
      <c r="C17" s="82" t="inlineStr">
        <is>
          <t>≈ 7.2%</t>
        </is>
      </c>
      <c r="D17" s="83" t="inlineStr">
        <is>
          <t>קרנות הגדולות | מקור: רשות שוק ההון</t>
        </is>
      </c>
    </row>
    <row r="18" ht="24" customHeight="1">
      <c r="B18" s="81" t="inlineStr">
        <is>
          <t>תשואה ממוצעת 20 שנים</t>
        </is>
      </c>
      <c r="C18" s="82" t="inlineStr">
        <is>
          <t>≈ 6.1%</t>
        </is>
      </c>
      <c r="D18" s="83" t="inlineStr">
        <is>
          <t>כולל משבר 2008 ו-COVID</t>
        </is>
      </c>
    </row>
    <row r="19" ht="24" customHeight="1">
      <c r="B19" s="81" t="inlineStr">
        <is>
          <t>תשואה ריאלית (בניכוי אינפלציה)</t>
        </is>
      </c>
      <c r="C19" s="82" t="inlineStr">
        <is>
          <t>≈ 4.0%</t>
        </is>
      </c>
      <c r="D19" s="83" t="inlineStr">
        <is>
          <t>ממוצע היסטורי ריאלי</t>
        </is>
      </c>
    </row>
    <row r="20" ht="24" customHeight="1">
      <c r="B20" s="81" t="inlineStr">
        <is>
          <t>תשואה שמרנית לתכנון</t>
        </is>
      </c>
      <c r="C20" s="82" t="inlineStr">
        <is>
          <t>5.0-5.5%</t>
        </is>
      </c>
      <c r="D20" s="83" t="inlineStr">
        <is>
          <t>המלצה לתכנון ארוך טווח</t>
        </is>
      </c>
    </row>
    <row r="21" ht="6" customHeight="1"/>
    <row r="22" ht="28" customHeight="1">
      <c r="B22" s="3" t="inlineStr">
        <is>
          <t>👥 נתוני אוכלוסייה ושכר (CBS 2024)</t>
        </is>
      </c>
    </row>
    <row r="23" ht="24" customHeight="1">
      <c r="B23" s="81" t="inlineStr">
        <is>
          <t>שכר ממוצע לשכיר</t>
        </is>
      </c>
      <c r="C23" s="82" t="inlineStr">
        <is>
          <t>≈ 13,500 ₪/חודש</t>
        </is>
      </c>
      <c r="D23" s="83" t="inlineStr">
        <is>
          <t>לשכה מרכזית לסטטיסטיקה, 2024</t>
        </is>
      </c>
    </row>
    <row r="24" ht="24" customHeight="1">
      <c r="B24" s="81" t="inlineStr">
        <is>
          <t>שכר חציוני לשכיר</t>
        </is>
      </c>
      <c r="C24" s="82" t="inlineStr">
        <is>
          <t>≈ 10,600 ₪/חודש</t>
        </is>
      </c>
      <c r="D24" s="83" t="inlineStr">
        <is>
          <t>50% מהשכירים מרוויחים פחות</t>
        </is>
      </c>
    </row>
    <row r="25" ht="24" customHeight="1">
      <c r="B25" s="81" t="inlineStr">
        <is>
          <t>תוחלת חיים – גברים בגיל 67</t>
        </is>
      </c>
      <c r="C25" s="82" t="inlineStr">
        <is>
          <t>≈ 17 שנים נוספות</t>
        </is>
      </c>
      <c r="D25" s="83" t="inlineStr">
        <is>
          <t>ממוצע לאומי | עד גיל 84</t>
        </is>
      </c>
    </row>
    <row r="26" ht="24" customHeight="1">
      <c r="B26" s="81" t="inlineStr">
        <is>
          <t>תוחלת חיים – נשים בגיל 67</t>
        </is>
      </c>
      <c r="C26" s="82" t="inlineStr">
        <is>
          <t>≈ 21 שנים נוספות</t>
        </is>
      </c>
      <c r="D26" s="83" t="inlineStr">
        <is>
          <t>ממוצע לאומי | עד גיל 88</t>
        </is>
      </c>
    </row>
    <row r="27" ht="24" customHeight="1">
      <c r="B27" s="81" t="inlineStr">
        <is>
          <t>אחוז החלפת שכר ממוצע בישראל</t>
        </is>
      </c>
      <c r="C27" s="82" t="inlineStr">
        <is>
          <t>≈ 35-45%</t>
        </is>
      </c>
      <c r="D27" s="83" t="inlineStr">
        <is>
          <t>נמוך מהמומלץ של 70-80%!</t>
        </is>
      </c>
    </row>
    <row r="28" ht="6" customHeight="1"/>
    <row r="29" ht="28" customHeight="1">
      <c r="B29" s="3" t="inlineStr">
        <is>
          <t>⚠️  עובדות מדאיגות שכדאי לדעת</t>
        </is>
      </c>
    </row>
    <row r="30" ht="24" customHeight="1">
      <c r="B30" s="81" t="inlineStr">
        <is>
          <t>קצבת פנסיה ממוצעת בישראל</t>
        </is>
      </c>
      <c r="C30" s="82" t="inlineStr">
        <is>
          <t>≈ 4,500-5,500 ₪</t>
        </is>
      </c>
      <c r="D30" s="83" t="inlineStr">
        <is>
          <t>מקור: ביטוח לאומי 2023</t>
        </is>
      </c>
    </row>
    <row r="31" ht="24" customHeight="1">
      <c r="B31" s="81" t="inlineStr">
        <is>
          <t>אחוז עצמאים ללא פנסיה (2024)</t>
        </is>
      </c>
      <c r="C31" s="82" t="inlineStr">
        <is>
          <t>≈ 25%</t>
        </is>
      </c>
      <c r="D31" s="83" t="inlineStr">
        <is>
          <t>עד 2017 לא הייתה חובה על עצמאים</t>
        </is>
      </c>
    </row>
    <row r="32" ht="24" customHeight="1">
      <c r="B32" s="81" t="inlineStr">
        <is>
          <t>גיל ממוצע להצטרפות לפנסיה</t>
        </is>
      </c>
      <c r="C32" s="82" t="inlineStr">
        <is>
          <t>≈ 28-30</t>
        </is>
      </c>
      <c r="D32" s="83" t="inlineStr">
        <is>
          <t>מאוחר מדי! כל שנה שווה עשרות אלפי ₪</t>
        </is>
      </c>
    </row>
    <row r="33" ht="24" customHeight="1">
      <c r="B33" s="81" t="inlineStr">
        <is>
          <t>חסכון פנסיוני ממוצע בגיל 67</t>
        </is>
      </c>
      <c r="C33" s="82" t="inlineStr">
        <is>
          <t>≈ 1.1-1.4 מ' ₪</t>
        </is>
      </c>
      <c r="D33" s="83" t="inlineStr">
        <is>
          <t>נמוך ממה שנדרש למחיה בכבוד</t>
        </is>
      </c>
    </row>
    <row r="34" ht="6" customHeight="1"/>
    <row r="35" ht="26" customHeight="1">
      <c r="B35" s="84" t="inlineStr">
        <is>
          <t>מקורות: רשות שוק ההון, הלשכה המרכזית לסטטיסטיקה (CBS), גמלנט – ביטוח לאומי, בנק ישראל | עדכון נוסחאות: מרץ 2024</t>
        </is>
      </c>
    </row>
  </sheetData>
  <mergeCells count="7">
    <mergeCell ref="B10:D10"/>
    <mergeCell ref="A1:D1"/>
    <mergeCell ref="B3:D3"/>
    <mergeCell ref="B22:D22"/>
    <mergeCell ref="B35:D35"/>
    <mergeCell ref="B29:D29"/>
    <mergeCell ref="B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cols>
    <col width="1.5" customWidth="1" min="1" max="1"/>
    <col width="38" customWidth="1" min="2" max="2"/>
    <col width="18" customWidth="1" min="3" max="3"/>
    <col width="3" customWidth="1" min="4" max="4"/>
    <col width="40" customWidth="1" min="5" max="5"/>
    <col width="18" customWidth="1" min="6" max="6"/>
  </cols>
  <sheetData>
    <row r="1" ht="50" customHeight="1">
      <c r="A1" s="85" t="inlineStr">
        <is>
          <t>🔢  מחשבון עלות דמי ניהול – שנה ובדוק כמה אתה מפסיד</t>
        </is>
      </c>
    </row>
    <row r="2" ht="26" customHeight="1">
      <c r="A2" s="31" t="inlineStr">
        <is>
          <t>הכנס את דמי הניהול שלך (מהדוח השנתי של קרן הפנסיה) ובדוק כמה ניתן לחסוך בקרן זולה יותר</t>
        </is>
      </c>
    </row>
    <row r="3" ht="8" customHeight="1"/>
    <row r="4" ht="28" customHeight="1">
      <c r="B4" s="3" t="inlineStr">
        <is>
          <t>📋  נתוני קלט</t>
        </is>
      </c>
    </row>
    <row r="5" ht="24" customHeight="1">
      <c r="B5" s="4" t="inlineStr">
        <is>
          <t>שכר ברוטו חודשי</t>
        </is>
      </c>
      <c r="C5" s="7" t="n">
        <v>15000</v>
      </c>
    </row>
    <row r="6" ht="24" customHeight="1">
      <c r="B6" s="4" t="inlineStr">
        <is>
          <t>גיל נוכחי</t>
        </is>
      </c>
      <c r="C6" s="86" t="n">
        <v>30</v>
      </c>
    </row>
    <row r="7" ht="24" customHeight="1">
      <c r="B7" s="4" t="inlineStr">
        <is>
          <t>גיל פרישה</t>
        </is>
      </c>
      <c r="C7" s="86" t="n">
        <v>67</v>
      </c>
    </row>
    <row r="8" ht="24" customHeight="1">
      <c r="B8" s="4" t="inlineStr">
        <is>
          <t>% הפקדה כולל (עובד + מעסיק)</t>
        </is>
      </c>
      <c r="C8" s="25" t="n">
        <v>0.125</v>
      </c>
    </row>
    <row r="9" ht="24" customHeight="1">
      <c r="B9" s="4" t="inlineStr">
        <is>
          <t>תשואה שנתית גולמית צפויה</t>
        </is>
      </c>
      <c r="C9" s="25" t="n">
        <v>0.055</v>
      </c>
    </row>
    <row r="10" ht="24" customHeight="1">
      <c r="B10" s="4" t="inlineStr">
        <is>
          <t>דמי ניהול נוכחיים – מצבירה</t>
        </is>
      </c>
      <c r="C10" s="9" t="n">
        <v>0.003</v>
      </c>
    </row>
    <row r="11" ht="24" customHeight="1">
      <c r="B11" s="4" t="inlineStr">
        <is>
          <t>דמי ניהול נוכחיים – מהפקדה</t>
        </is>
      </c>
      <c r="C11" s="9" t="n">
        <v>0.03</v>
      </c>
    </row>
    <row r="12" ht="24" customHeight="1">
      <c r="B12" s="4" t="inlineStr">
        <is>
          <t>דמי ניהול בקרן חלופית – מצבירה</t>
        </is>
      </c>
      <c r="C12" s="9" t="n">
        <v>0.001</v>
      </c>
    </row>
    <row r="13" ht="24" customHeight="1">
      <c r="B13" s="4" t="inlineStr">
        <is>
          <t>דמי ניהול בקרן חלופית – מהפקדה</t>
        </is>
      </c>
      <c r="C13" s="9" t="n">
        <v>0.0149</v>
      </c>
    </row>
    <row r="14" ht="8" customHeight="1"/>
    <row r="15" ht="28" customHeight="1">
      <c r="B15" s="10" t="inlineStr">
        <is>
          <t>📊  תוצאות השוואה</t>
        </is>
      </c>
    </row>
    <row r="16" ht="26" customHeight="1">
      <c r="B16" s="87" t="inlineStr">
        <is>
          <t>חסכון בקרן הנוכחית ביום פרישה</t>
        </is>
      </c>
      <c r="C16" s="88">
        <f>C5*12*C8*(1-C11)*IF(ABS((C9-C10)-0.02)&lt;0.00001,(C7-C6)*(1+(C9-C10))^((C7-C6)-0.5),((1+(C9-C10))^(C7-C6)-(1+0.02)^(C7-C6))/((C9-C10)-0.02))</f>
        <v/>
      </c>
    </row>
    <row r="17" ht="26" customHeight="1">
      <c r="B17" s="89" t="inlineStr">
        <is>
          <t>חסכון בקרן החלופית ביום פרישה</t>
        </is>
      </c>
      <c r="C17" s="21">
        <f>C5*12*C8*(1-C13)*IF(ABS((C9-C12)-0.02)&lt;0.00001,(C7-C6)*(1+(C9-C12))^((C7-C6)-0.5),((1+(C9-C12))^(C7-C6)-(1+0.02)^(C7-C6))/((C9-C12)-0.02))</f>
        <v/>
      </c>
    </row>
    <row r="18" ht="26" customHeight="1">
      <c r="B18" s="90" t="inlineStr">
        <is>
          <t>חיסכון בעקבות מעבר לקרן זולה</t>
        </is>
      </c>
      <c r="C18" s="91">
        <f>C17-C16</f>
        <v/>
      </c>
    </row>
    <row r="19" ht="26" customHeight="1">
      <c r="B19" s="92" t="inlineStr">
        <is>
          <t>% שיפור בחסכון</t>
        </is>
      </c>
      <c r="C19" s="93">
        <f>IF(C16&gt;0,C18/C16,0)</f>
        <v/>
      </c>
    </row>
    <row r="20" ht="8" customHeight="1"/>
    <row r="21" ht="40" customHeight="1">
      <c r="B21" s="94" t="inlineStr">
        <is>
          <t>💡  טיפ: אם הפרש החיסכון גדול מ-50,000 ₪ – שווה מאוד לבדוק מעבר. פנה לקרן הנוכחית שלך לניהול משא ומתן על דמי הניהול לפני שאתה עובר.</t>
        </is>
      </c>
    </row>
  </sheetData>
  <mergeCells count="5">
    <mergeCell ref="B21:F21"/>
    <mergeCell ref="A2:F2"/>
    <mergeCell ref="B15:C15"/>
    <mergeCell ref="A1:F1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2" customWidth="1" min="1" max="1"/>
    <col width="90" customWidth="1" min="2" max="2"/>
  </cols>
  <sheetData>
    <row r="1" ht="55" customHeight="1">
      <c r="A1" s="30" t="inlineStr">
        <is>
          <t>⚠️  הצהרת אחריות / דיסקליימר – חובה לקרוא</t>
        </is>
      </c>
    </row>
    <row r="2" ht="45" customHeight="1">
      <c r="B2" s="95" t="inlineStr">
        <is>
          <t>הגיליון הינו כלי עזר לצרכי מידע ותכנון אישי בלבד</t>
        </is>
      </c>
    </row>
    <row r="3" ht="79" customHeight="1">
      <c r="B3" s="96" t="inlineStr">
        <is>
          <t>הגיליון אינו מהווה ייעוץ פנסיוני, ייעוץ השקעות, ייעוץ פיננסי, או תחליף לייעוץ מקצועי מורשה. כל החלטה פיננסית המתבססת על גיליון זה נעשית על אחריות המשתמש בלבד.</t>
        </is>
      </c>
    </row>
    <row r="4" ht="98" customHeight="1">
      <c r="B4" s="97" t="inlineStr">
        <is>
          <t>החישובים מבוססים על הנחות פשטניות ואינם מתחשבים בגורמים אישיים כגון: מצב בריאותי, הוצאות רפואיות, ביטוח חיים, פנסיית שארים, זכויות ותק, פנסיה מקופות נוספות, הכנסה מרכוש, ירושות, עסקים עצמאיים וכד'.</t>
        </is>
      </c>
    </row>
    <row r="5" ht="81" customHeight="1">
      <c r="B5" s="96" t="inlineStr">
        <is>
          <t>תשואות עבר אינן ערובה לתשואות עתיד. שוק ההון נתון לתנודות משמעותיות ויכול להיות שהתשואה בפועל תהיה נמוכה או גבוהה מהמוצג בגיליון זה. קרנות פנסיה עלולות להפסיד ערך.</t>
        </is>
      </c>
    </row>
    <row r="6" ht="78" customHeight="1">
      <c r="B6" s="97" t="inlineStr">
        <is>
          <t>נתוני דמי הניהול, שיעורי ההפקדה, וחוקי המס מתעדכנים מעת לעת. האחריות לוודא עדכניות הנתונים חלה על המשתמש. נתחיל לעדכן: עם כניסת תקנות ושינויי חוק רלוונטיים.</t>
        </is>
      </c>
    </row>
    <row r="7" ht="87" customHeight="1">
      <c r="B7" s="96" t="inlineStr">
        <is>
          <t>המחשב הנוכחי מפשט עולם מורכב: אינו כולל מס רווחי הון על משיכות חלקיות, קנסות פדיון מוקדם, ביטוח נכות ושאירים (שמפחיתים תשואה בכ-0.5-1%), שינויי גיל פרישה, שינויי חוק עתידיים.</t>
        </is>
      </c>
    </row>
    <row r="8" ht="91" customHeight="1">
      <c r="B8" s="97" t="inlineStr">
        <is>
          <t>ייעוץ פנסיוני מחייב רישיון על-פי חוק הפיקוח על שירותים פיננסיים (עיסוק בייעוץ פנסיוני) התשס"ה-2005. לייעוץ מקצועי פנה ליועץ פנסיוני מורשה בעל רישיון תקף מרשות שוק ההון, ביטוח וחיסכון.</t>
        </is>
      </c>
    </row>
    <row r="9" ht="85" customHeight="1">
      <c r="B9" s="96" t="inlineStr">
        <is>
          <t>הגיליון הופץ 'כפי שהוא' (AS IS) ללא אחריות מכל סוג שהוא, מפורשת או משתמעת. לא קיימת אחריות לנזקים ישירים, עקיפים, מקריים, תוצאתיים או עונשיים שייגרמו עקב שימוש בגיליון זה.</t>
        </is>
      </c>
    </row>
    <row r="10" ht="8" customHeight="1">
      <c r="B10" s="97" t="inlineStr">
        <is>
          <t>כל הנתונים והמקורות: רשות שוק ההון (gov.il/he/departments/capital_market), הלשכה המרכזית לסטטיסטיקה (cbs.gov.il), בנק ישראל (boi.org.il), גמלנט ביטוח לאומי (gemolnet.btl.gov.il). גישה לנתוניך האישיים: גמלנט ופנסיה נט של האוצר.</t>
        </is>
      </c>
    </row>
    <row r="11" ht="30" customHeight="1">
      <c r="B11" s="98" t="inlineStr">
        <is>
          <t>גרסה 1.0 | מבוסס על נתוני 2024 | עודכן ינואר 2025 | הגיליון חינמי לשימוש אישי | אין להפיץ בתשלום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2026-06-05T06:45:59Z</dcterms:created>
  <dcterms:modified xsi:type="dcterms:W3CDTF">2026-06-05T06:45:59Z</dcterms:modified>
</cp:coreProperties>
</file>